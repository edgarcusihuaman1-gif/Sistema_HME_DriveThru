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3780" windowHeight="4485"/>
  </bookViews>
  <sheets>
    <sheet name="Drive HME" sheetId="1" r:id="rId1"/>
    <sheet name="Atenciones 2025" sheetId="4" r:id="rId2"/>
    <sheet name="Atenciones 2026" sheetId="6" r:id="rId3"/>
    <sheet name="Cotizaciones" sheetId="7" r:id="rId4"/>
  </sheets>
  <definedNames>
    <definedName name="_xlnm._FilterDatabase" localSheetId="1" hidden="1">'Atenciones 2025'!$A$1:$N$73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4" i="6" l="1"/>
  <c r="A45" i="6" s="1"/>
  <c r="A46" i="6" s="1"/>
  <c r="A47" i="6" s="1"/>
  <c r="A48" i="6" s="1"/>
  <c r="A49" i="6" s="1"/>
  <c r="A50" i="6" s="1"/>
  <c r="A51" i="6" s="1"/>
  <c r="A52" i="6" s="1"/>
  <c r="F5" i="7" l="1"/>
  <c r="F4" i="7"/>
  <c r="F3" i="7"/>
  <c r="F2" i="7"/>
  <c r="A40" i="6" l="1"/>
  <c r="A41" i="6" s="1"/>
  <c r="A42" i="6" s="1"/>
  <c r="A43" i="6" s="1"/>
  <c r="A31" i="6"/>
  <c r="A32" i="6" s="1"/>
  <c r="A33" i="6" s="1"/>
  <c r="A34" i="6" s="1"/>
  <c r="A35" i="6" s="1"/>
  <c r="A36" i="6" s="1"/>
  <c r="A37" i="6" s="1"/>
  <c r="A38" i="6" s="1"/>
  <c r="A24" i="6"/>
  <c r="A25" i="6" s="1"/>
  <c r="A3" i="6"/>
  <c r="A4" i="6" s="1"/>
  <c r="A5" i="6" s="1"/>
  <c r="A6" i="6" s="1"/>
  <c r="A7" i="6" s="1"/>
  <c r="A8" i="6" s="1"/>
  <c r="A9" i="6" s="1"/>
  <c r="A10" i="6" s="1"/>
  <c r="A11" i="6" s="1"/>
  <c r="A12" i="6" s="1"/>
  <c r="A13" i="6" s="1"/>
  <c r="A14" i="6" s="1"/>
  <c r="A15" i="6" s="1"/>
  <c r="A16" i="6" s="1"/>
  <c r="A17" i="6" s="1"/>
  <c r="A18" i="6" s="1"/>
  <c r="A19" i="6" s="1"/>
  <c r="A20" i="6" s="1"/>
  <c r="A21" i="6" s="1"/>
  <c r="A22" i="6" s="1"/>
  <c r="A27" i="6" l="1"/>
  <c r="A26" i="6"/>
  <c r="A28" i="6" s="1"/>
  <c r="A29" i="6" s="1"/>
  <c r="A91" i="4"/>
  <c r="A93" i="4"/>
  <c r="A75" i="4" l="1"/>
  <c r="A77" i="4"/>
  <c r="A79" i="4"/>
  <c r="A81" i="4"/>
  <c r="A83" i="4"/>
  <c r="A85" i="4"/>
  <c r="A87" i="4"/>
  <c r="A89" i="4"/>
  <c r="A5" i="4" l="1"/>
  <c r="A7" i="4"/>
  <c r="A9" i="4"/>
  <c r="A11" i="4"/>
  <c r="A13" i="4"/>
  <c r="A15" i="4"/>
  <c r="A17" i="4"/>
  <c r="A19" i="4"/>
  <c r="A21" i="4"/>
  <c r="A23" i="4"/>
  <c r="A25" i="4"/>
  <c r="A27" i="4"/>
  <c r="A29" i="4"/>
  <c r="A31" i="4"/>
  <c r="A33" i="4"/>
  <c r="A35" i="4"/>
  <c r="A37" i="4"/>
  <c r="A39" i="4"/>
  <c r="A41" i="4"/>
  <c r="A43" i="4"/>
  <c r="A45" i="4"/>
  <c r="A47" i="4"/>
  <c r="A49" i="4"/>
  <c r="A51" i="4"/>
  <c r="A53" i="4"/>
  <c r="A55" i="4"/>
  <c r="A57" i="4"/>
  <c r="A59" i="4"/>
  <c r="A61" i="4"/>
  <c r="A63" i="4"/>
  <c r="A65" i="4"/>
  <c r="A67" i="4"/>
  <c r="A69" i="4"/>
  <c r="A71" i="4"/>
  <c r="A73" i="4"/>
  <c r="A3" i="4" l="1"/>
  <c r="L11" i="1" l="1"/>
  <c r="L8" i="1"/>
  <c r="L6" i="1"/>
  <c r="G11" i="1"/>
  <c r="G8" i="1"/>
  <c r="G5" i="1"/>
  <c r="G4" i="1"/>
</calcChain>
</file>

<file path=xl/sharedStrings.xml><?xml version="1.0" encoding="utf-8"?>
<sst xmlns="http://schemas.openxmlformats.org/spreadsheetml/2006/main" count="1654" uniqueCount="235">
  <si>
    <t>N°</t>
  </si>
  <si>
    <t>MARCA</t>
  </si>
  <si>
    <t>TIENDA</t>
  </si>
  <si>
    <t>UBICACIÓN</t>
  </si>
  <si>
    <t>HEADPHONE OPERATIVOS</t>
  </si>
  <si>
    <t>HEADPHONE AVERIADOS</t>
  </si>
  <si>
    <t>TOTAL HEADPHONE</t>
  </si>
  <si>
    <t>CONTADOR DIARIO</t>
  </si>
  <si>
    <t>CONTADOR RANKING</t>
  </si>
  <si>
    <t>SENSOR</t>
  </si>
  <si>
    <t>CARGADOR DE BATERIAS</t>
  </si>
  <si>
    <t>BAT. OPER.</t>
  </si>
  <si>
    <t>BAT. AVER.</t>
  </si>
  <si>
    <t>TOTAL BAT.</t>
  </si>
  <si>
    <t>CPU</t>
  </si>
  <si>
    <t>OBSERVACIONES</t>
  </si>
  <si>
    <t>KFC</t>
  </si>
  <si>
    <t xml:space="preserve">KFC004 </t>
  </si>
  <si>
    <t>LAS FLORES</t>
  </si>
  <si>
    <t>KFC005</t>
  </si>
  <si>
    <t>BENAVIDES</t>
  </si>
  <si>
    <t>KFC007</t>
  </si>
  <si>
    <t>CAMACHO</t>
  </si>
  <si>
    <t>OPERATIVO</t>
  </si>
  <si>
    <t>KFC009</t>
  </si>
  <si>
    <t>ESPINAR</t>
  </si>
  <si>
    <t>FALLANDO</t>
  </si>
  <si>
    <t>KFC017</t>
  </si>
  <si>
    <t>PRIMAVERA</t>
  </si>
  <si>
    <t xml:space="preserve">KFC021  </t>
  </si>
  <si>
    <t>ARMENDARIZ</t>
  </si>
  <si>
    <t xml:space="preserve">KFC037 </t>
  </si>
  <si>
    <t>TAIPEI</t>
  </si>
  <si>
    <t>KFC160</t>
  </si>
  <si>
    <t>KIO</t>
  </si>
  <si>
    <t>STB</t>
  </si>
  <si>
    <t>STB091</t>
  </si>
  <si>
    <t>STB133</t>
  </si>
  <si>
    <t>EJERCITO</t>
  </si>
  <si>
    <t>CARGADOR OPERATIVO</t>
  </si>
  <si>
    <t>CU 50</t>
  </si>
  <si>
    <t>TSP HME</t>
  </si>
  <si>
    <t>Estación Base EOS HD 6200</t>
  </si>
  <si>
    <t>CU 50 ESTADO</t>
  </si>
  <si>
    <t>TSP HME ESTADO</t>
  </si>
  <si>
    <t>SENSOR ESTADO</t>
  </si>
  <si>
    <t>DAÑADO</t>
  </si>
  <si>
    <t>Pantallas</t>
  </si>
  <si>
    <t>IP ADDRESS</t>
  </si>
  <si>
    <t>192.168.31.16</t>
  </si>
  <si>
    <t>192.168.13.16</t>
  </si>
  <si>
    <t>192.168.28.16</t>
  </si>
  <si>
    <t>192.168.29.239</t>
  </si>
  <si>
    <t>192.168.16.16</t>
  </si>
  <si>
    <t>192.168.254.16</t>
  </si>
  <si>
    <t>192.168.55.16</t>
  </si>
  <si>
    <t>172.22.50.239</t>
  </si>
  <si>
    <t>172.22.18.195</t>
  </si>
  <si>
    <t>172.22.101.16</t>
  </si>
  <si>
    <t>ITEM</t>
  </si>
  <si>
    <t>UBICACIÓN </t>
  </si>
  <si>
    <t>DIRECCION </t>
  </si>
  <si>
    <t>MES</t>
  </si>
  <si>
    <t>FECHA DE SOLICITUD</t>
  </si>
  <si>
    <t>TIEMPO DE EJECUCION</t>
  </si>
  <si>
    <t>SOLICITANTE</t>
  </si>
  <si>
    <t>SOLICITUD</t>
  </si>
  <si>
    <t>DETALLE</t>
  </si>
  <si>
    <t>TIPOLOGIA</t>
  </si>
  <si>
    <t>DIURNO/NOCTURNO</t>
  </si>
  <si>
    <t>ESTADO</t>
  </si>
  <si>
    <t>OBSERVACION</t>
  </si>
  <si>
    <t>LURIN</t>
  </si>
  <si>
    <t>CAR. PANAMERICANA SUR KM 25 GRIFO KIO</t>
  </si>
  <si>
    <t>ENERO</t>
  </si>
  <si>
    <t>EDGAR CUSIHUAMAN/ JORGE ROJAS</t>
  </si>
  <si>
    <t xml:space="preserve">SE REPORTARON AUTOS FANTASMA </t>
  </si>
  <si>
    <t>T3</t>
  </si>
  <si>
    <t>HORARIO DE OFICINA</t>
  </si>
  <si>
    <t>OK PROCEDIO</t>
  </si>
  <si>
    <t>CC</t>
  </si>
  <si>
    <t>SAN ISIDRO</t>
  </si>
  <si>
    <t>LAS FLORES, SAN ISIDRO</t>
  </si>
  <si>
    <t>SURCO</t>
  </si>
  <si>
    <t>AV. ALFREDO BENAVIDES 5220 URB. LAS GARDENIAS</t>
  </si>
  <si>
    <t>INTERMITENCIA DE RED</t>
  </si>
  <si>
    <t>T2</t>
  </si>
  <si>
    <t>MIRAFLORES</t>
  </si>
  <si>
    <t>AV. ARMENDARIZ 120 MIRAFLORES</t>
  </si>
  <si>
    <t>AV. COMANDANTE ESPINAR 240</t>
  </si>
  <si>
    <t>LASFLORES, SANISIDRO</t>
  </si>
  <si>
    <t>CAMBIO DE BATERIA Y CARGADOR ABERIADOS</t>
  </si>
  <si>
    <t>T1</t>
  </si>
  <si>
    <t>LA MOLINA</t>
  </si>
  <si>
    <t>AV. JAVIER PRADO 5288 URB. CAMINO REAL</t>
  </si>
  <si>
    <t>AV. PRIMAVERA 1188 URB. VALLE HERMOSO DE MONTERRICO</t>
  </si>
  <si>
    <t>FEBRERO</t>
  </si>
  <si>
    <t>T4</t>
  </si>
  <si>
    <t>VERIFICAR SI TIENDA CUENTA CON HME CLOUD Y VALIDAR CONECCION Y CABLEADO CORRECTOS</t>
  </si>
  <si>
    <t>MARZO</t>
  </si>
  <si>
    <t>AV. JOSE A ENCINAS 144 URB. SAN ANTONIO - MIRAFLORES (CRUCE CON AV. BENAVIDES)</t>
  </si>
  <si>
    <t>EDGAR CUSIHUAMAN/ JORGE ROJAS/JUNIOR TIMANA</t>
  </si>
  <si>
    <t>ABRIL</t>
  </si>
  <si>
    <t>CAMBIO DE EQUIPO CU</t>
  </si>
  <si>
    <t>REINSTALACION DE BASE EOS Y TPS</t>
  </si>
  <si>
    <t xml:space="preserve">SE PROCEDE A REINSTALAR LA BASE EOS Y EL TSP ASI COMO TAMBIEN SE REEMPLAZA Y OPTIMIZA EL CABLEADO TANTO DE LOS SENSORES COMO DE LOS ALTAVOCES Y EL MICROFONO. </t>
  </si>
  <si>
    <t>TIENDA PRESENTA PROBLEMAS DE INTERMITENCIA DE RED, SE PROCEDE A REEMPLAZAR EL CABLE DE RED POR UN CABLE CERTIFICADO CAT6</t>
  </si>
  <si>
    <t>Estado Base EOS ESTADO</t>
  </si>
  <si>
    <t>NUEVO</t>
  </si>
  <si>
    <t>KFC004</t>
  </si>
  <si>
    <t>KFC021</t>
  </si>
  <si>
    <t>KFC037</t>
  </si>
  <si>
    <t>mantenimiento de headphone</t>
  </si>
  <si>
    <t xml:space="preserve">VALIDACION REMOTA DE TIENDA, FUNCIONALIDAD Y REVISION DE CONFIGURACION DE AURICULARES, Y CONFIGURACION DE SISTEMA, VALIDADO ESTO SE PROCEDEIO A REVISION REMOTA DE LA CONFIGURACION DE TIEMPOS, AUTOS FANTASMA Y RECORORIDO, RECONFIGURANDO TODO LOS PARAMETROS Y AJUSTANDO ESTAS A LO ESTABLECIDO POR HME </t>
  </si>
  <si>
    <t xml:space="preserve">VALIDACION REMOTA DE TIENDA, FUNCIONALIDAD Y REVISION DE CONFIGURACION DE AURICULARES, Y CONFIGURACION DE SISTEMA, VALIDADO ESTO SE PROCEDEIO A REVISION REMOTA DE LA CONFIGURACION DE TIEMPOS, AUTOS FANTASMA Y RECORORIDO, RECONFIGURANDO TODO LOS PARAMETROS Y AJUSTANDO ESTAS A LOS ESTABLECIDO POR HME </t>
  </si>
  <si>
    <t>PROTOCOLO DE VALIDACION DE FUNCIONALIDAD DEL SISTEMA, VALIDACION DE ESTADO ACTUAL DE CONFIGURACION, CONFIRMADO ESTO REVISION DE CONFIGURACION DE AURICULARES, DANDO COMO RESULTADO CONFORMIDAD DE EQUIPAMIENTO HME, SE REALIZARON TEST DE CONTINUIDAD Y VELOCIDAD DE RED, SE REINICIO EL EQUIPO PARA RESTABLECER CAMBIOS REALIZADOS</t>
  </si>
  <si>
    <t>PROTOCOLO DE VALIDACION DE FUNCIONALIDAD DEL SISTEMA, VALIDACION DE ESTADO ACTUAL DE CONFIGURACION, CONFIRMADO ESTO REVISION DE CONFIGURACION DE AURICULARES, DANDO COMO RESULTADO QUE NO TENIAN NINGUN AURICULAR RELACIONADO A BASE 6200, SE APAGO EL EQUIPO Y VOLVIO A CONFIGURAR TODO LOS AURICULARES, SE REALIZARON PRUEBAS CON GERENTE DE TIENDA TODO OK</t>
  </si>
  <si>
    <t>PROTOCOLO DE VALIDACION DE FUNCIONALIDAD DEL SISTEMA, VALIDACION DE ESTADO ACTUAL DE CONFIGURACION, CONFIRMADO ESTO REVISION DE CONFIGURACION DE AURICULARES, DANDO COMO RESULTADO QUE NO TENIAN NINGUN AURICULAR RELACIONADO A BASE 6200, SE APAGO EL EQUIPO Y VOLVIO A CONFIGURAR TODO LOS AURICULARES  CAMBIO DE CARGADOR DE BATERIA NUEVA</t>
  </si>
  <si>
    <t xml:space="preserve">VALIDACION REMOTA DE TIENDA, FUNCIONALIDAD Y REVISION DE CONFIGURACION DE AURICULARES, Y CONFIGURACION DE SISTEMA, VALIDADO ESTO SE PROCEDEIO A REVISION REMOTA DE LA CONFIGURACION DE TIEMPOS, AUTOS FANTASMA Y RECORORIDO, RECONFIGURANDO TODO LOS PARAMETROS Y AJUSTANDO ESTAS A LOS ESTABLECIDO POR HME  (SOBRE CARGA DE AURICULARES) </t>
  </si>
  <si>
    <t>SE PROCEDIO CON VISITA FISICA DE TIENDA, SE VALIDO FUNCIONALIDAD Y REVISION DE CONFIGURACION DE AURICULARES, Y CONFIGURACION DE SISTEMA, VALIDADO ESTO SE PROCEDIO A REVISION DE CONFIGURACION DE TIEMPOS, AUTOS FANTASMA Y RECORORIDO, RECONFIGURANDO TODO LOS PARAMETROS Y AJUSTANDO ESTAS A LOS ESTABLECIDO POR HME  (SOBRE CARGA DE AURICULARES), SE PROCEDIO CON CAMBIO DE CARGADOR DE BATERIA ENCONTRANDO 05 BATERIAS EN MAL ESTADO</t>
  </si>
  <si>
    <t xml:space="preserve">SE PROCEDIO CON VISITA FISICA DE TIENDA, VALIDANDO FUNCIONALIDAD Y REVISION DE CONFIGURACION DE AURICULARES, Y CONFIGURACION DE SISTEMA, VALIDADO ESTO SE PROCEDEIO A REVISION REMOTA DE LA CONFIGURACION DE TIEMPOS, AUTOS FANTASMA Y RECORORIDO, RECONFIGURANDO TODO LOS PARAMETROS Y AJUSTANDO ESTAS A LOS ESTABLECIDO POR HME, SE REALIZARON PRUEBAS FISICAS EN TODO EL CENDERO DE AUTOS Y SE EXPLICO LA OPERATIVIDAD DE LOS EQUIPOS Y FUNCIONABILIDAD </t>
  </si>
  <si>
    <t>VALIDACION DE EQUIPAMIENTO HME, VERIFICAR SI ESTA ESTA EN FUNCIONAMIENTO, EQUIPO NO PRENDE O LEVANTA, VERIFCACION DE TOMAS DE PUNTO ESTABILIZADO, REALIZAR PROTOCOLO DE REINICIO DE SISTEMA LUEGO DE ESTAS PRUEBAS DE DERTERMINA, EQUIPO HME CLOUD APAGADO SE VALIDO CONECCION CABLEADO Y LOGRO PRENDER SE DEJO FUNCIONANDO</t>
  </si>
  <si>
    <t>VALIDACION DE FUNCIONALIDAD Y REVISION DE CONFIGURACION DE SISTEMA, VALIDADO ESTO SE PROCEDEIO A REALIZAR PRUBEAS CON EL ANCHO DE BANDA DE LA TIENDA, REINICIO DE SISTEMA TES DE VELOCIDAD, CABLE HDMI - VGA ROTO SE ENVIO INFORME</t>
  </si>
  <si>
    <t xml:space="preserve">VALIDACION DE FUNCIONALIDAD Y REVISION DE CONFIGURACION DE SISTEMA, VALIDADO ESTO SE PROCEDEIO A REALIZAR PRUBEAS CON EL ANCHO DE BANDA DE LA TIENDA </t>
  </si>
  <si>
    <t>VALIDACION REMOTA DE TIENDA, FUNCIONALIDAD Y REVISION DE CONFIGURACION DE AURICULARES, Y CONFIGURACION DE SISTEMA, VALIDADO ESTO SE PROCEDEIO A REINICIAR LA TIENDA DE FORMA REMOTA.</t>
  </si>
  <si>
    <t>SE PROCEDE A REEMPLAZAR EL EQUIPO CU POR UNO NUEVO A FIN DE SOLUCIONAR LOS INCONVENIENTES PRESENTADOS EN LA TIENDA, SE CONFIGURA EQUIPO NUEVO Y SE DEJA OPERATIVO</t>
  </si>
  <si>
    <t>VALIDACION DE TIENDA, FUNCIONALIDAD Y REVISION DE CONFIGURACION DE AURICULARES, Y CONFIGURACION DE SISTEMA, VALIDADO ESTO SE PROCEDEIO A REVISION FISICA DE LA TIENDA, SE VALIDA EL ESTADO DE LAS CONEXIONES, SE DESCARTA FALLA FISICA, SE PROCEDE A CAMBIAR EL PUERTO DE RED DEL CU</t>
  </si>
  <si>
    <t xml:space="preserve">AUTOS FANTASMA </t>
  </si>
  <si>
    <t>INDICADORES SE QUEDARON PEGADOS Y NO DABAN LECTURA</t>
  </si>
  <si>
    <t xml:space="preserve"> HEADPHONE NO FUNCIONA</t>
  </si>
  <si>
    <t>HEADPHONE FALLANDO</t>
  </si>
  <si>
    <t xml:space="preserve">PANTALLA HME CLUOD CAIDO </t>
  </si>
  <si>
    <t>PANTALLA DE CONTEO DE INDICADORES COLGADOS</t>
  </si>
  <si>
    <t>CAIDA DE HME</t>
  </si>
  <si>
    <t>MAYO</t>
  </si>
  <si>
    <t>SE REPORTO QUE TODO LOS INDICADORES SE QUEDARON PEGADOS Y NO DABAN LECTURA</t>
  </si>
  <si>
    <t xml:space="preserve">SE REPORTO QUE SEGUNDA PANTALLA DE HME CLOUD SE PERDIO </t>
  </si>
  <si>
    <t>VALIDACION REMOTA DE TIENDA, FUNCIONALIDAD Y REVISION DE CONFIGURACION DE AURICULARES, Y CONFIGURACION DE SISTEMA, VALIDADO ESTO SE PROCEDEIO A REVISION FISICA DE LA TIENDA, SE DETECTA QUE LA TIENDA PRESENTA PROBLEMAS DE INTERMITENCIA DE RED, SE PROCEDE A REEMPLAZAR EL CABLE DE RED POR UN CABLE CERTIFICADO CAT6</t>
  </si>
  <si>
    <t>SE REPORTO QUE TODO LOS INDICADORES SE QUEDARON PEGADOS Y SE PERDIO LA CONEXIÓN CON LA TIENDA</t>
  </si>
  <si>
    <t>VALIDACION REMOTA DE TIENDA, FUNCIONALIDAD Y REVISION DE CONFIGURACION DE AURICULARES, Y CONFIGURACION DE SISTEMA, VALIDADO ESTO SE PROCEDEIO A REVISION FISICA DE LA CONFIGURACION DE TIEMPOS, AUTOS FANTASMA Y RECORORIDO, SE VALIDA EL ESTADO DE LAS CONEXIONES, SE DESCARTA FALLA FISICA, SE PROCEDE A CAMBIAR EL CABLE DE RED DEL CU</t>
  </si>
  <si>
    <t xml:space="preserve">VALIDACION REMOTA DE TIENDA, FUNCIONALIDAD Y REVISION DE CONFIGURACION DE AURICULARES, Y CONFIGURACION DE SISTEMA, VALIDADO ESTO SE PROCEDEIO A REVISION REMOTA DE LA CONFIGURACION DE TIEMPOS, AUTOS FANTASMA Y RECORORIDO, RECONFIGURANDO TODO LOS PARAMETROS Y AJUSTANDO ESTAS A LOS ESTABLECIDO POR HME, ADICIONALMENTE SE CAMBIA EL HORARIO DE APERTURA DE LA TIENDA </t>
  </si>
  <si>
    <t>JUNIO</t>
  </si>
  <si>
    <t>SE PROCEDEIO A REVISION FISICA DE LA TIENDA, LA CONFIGURACION DE TIEMPOS, SE VALIDA EL ESTADO DE LAS CONEXIONES, SE DESCARTA FALLA FISICA, SE PROCEDE A RELIZAR UN REINICIO MANUAL, SE MODIFICA EL HORARIO DE APERTURA Y CIERRE DE LA TIENDA SEGÚN LO INDICADO EN EL CORREO</t>
  </si>
  <si>
    <t>VALIDACION DE TIENDA, GERENTE REPORTA INCIDENCIA DE REN EN LA ZONA, VALIDACION DE FUNCIONALIDAD Y REVISION DE CONFIGURACION DE SISTEMA, SE VALIDA EL ESTADO DE LAS CONEXIONES, SE DESCARTA FALLA FISICA, SE PROCEDE A REINICIAR EL SISTEMA DE FORMA MANUAL</t>
  </si>
  <si>
    <t>VALIDACION REMOTA DE TIENDA, FUNCIONALIDAD Y REVISION DE CONFIGURACION DE AURICULARES, SE PROCEDE A REINICIAR Y RECONECTAR LOS AURIULARES A LA BASE EOS.</t>
  </si>
  <si>
    <t>revision de bocina se escucha muy fuerte</t>
  </si>
  <si>
    <t xml:space="preserve">REMODELACIÓN </t>
  </si>
  <si>
    <t>Bocina de Altavoz se ecucha entrecortado</t>
  </si>
  <si>
    <t>cargador de baterias dañado</t>
  </si>
  <si>
    <t>cargador de bateria solo funciona 2 bandejas de carga</t>
  </si>
  <si>
    <t>KFC 09</t>
  </si>
  <si>
    <t>JULIO</t>
  </si>
  <si>
    <t>SE REPORTA TIENDA CAIDA</t>
  </si>
  <si>
    <t>KFC 05</t>
  </si>
  <si>
    <t>KFC 04</t>
  </si>
  <si>
    <t>SE REPORTO PERDIDA DE CONEXIÓN DE LOS AURICULARES</t>
  </si>
  <si>
    <t>KFC17</t>
  </si>
  <si>
    <t>KFC07</t>
  </si>
  <si>
    <t>AV. JAVIER PRADO ESTE 5288, URB. CAMINO REAL</t>
  </si>
  <si>
    <t>SE PERDIO LA CONEXIÓN CON LA TIENDA</t>
  </si>
  <si>
    <t>AGOSTO</t>
  </si>
  <si>
    <t>KFC 21</t>
  </si>
  <si>
    <t>AV. ARMENDARIZ NRO. 120</t>
  </si>
  <si>
    <t>REMODELACION DE TIENDA</t>
  </si>
  <si>
    <t>SE PROCEDEIO A REVISION FISICA DE LA TIENDA, LA CONFIGURACION DE TIEMPOS, SE VALIDA EL ESTADO DE LAS CONEXIONES, SE DESCARTA QUE SEA NECESARIO CAMBIO DEL SENSOR, SE REALIZA MANTENIMIENTO A LOS EQUIPOS Y CONEXIONES DE TIENDA.</t>
  </si>
  <si>
    <t>KFC 37</t>
  </si>
  <si>
    <t xml:space="preserve">SE REPORTO QUE NO ACTUALIZA LOS TIEMPOS PANTALLA DE HME CLOUD SE PERDIO </t>
  </si>
  <si>
    <t>OCTUBRE</t>
  </si>
  <si>
    <t>VALIDACION REMOTA DE TIENDA, FUNCIONALIDAD Y REVISION DE CONFIGURACION DE AURICULARES, Y CONFIGURACION DE SISTEMA, VALIDADO ESTO SE PROCEDEIO A REINICIAR LA TIENDA DE FORMA REMOTA, TIENDA SIGUE PRESENTANDO EL MISMO PROBLEMA SE PROCEDEIO A REVISION FISICA DE LA TIENDA, LA CONFIGURACION DE TIEMPOS, SE VALIDA EL ESTADO DE LAS CONEXIONES, SE LLEGA A LA CONCLUSION DE QUE EL PROBLEMA SE PRESENTA POR EL BAJO ANCHO DE BANDA DE TIENDA.</t>
  </si>
  <si>
    <t>COSTO DE ATENCION</t>
  </si>
  <si>
    <t xml:space="preserve">PANEL DE CONTEO DE AUTOS NO ESTA REFLEJANDO INFORMACION </t>
  </si>
  <si>
    <t>VALIDACION DE FUNCIONALIDAD Y REVISION DE CONFIGURACION DE SISTEMA, VALIDADO ESTO SE PROCEDIO A REALIZAR PRUBEAS, SE REVISA EL ESTADO DE LOS EQUIPOS, SE REEMPLAZAN CONEXIONES POR OTRAS NUEVAS, SE REPORTA A HME USA.</t>
  </si>
  <si>
    <t xml:space="preserve">SE PROCEDIO A REVISION FISICA DE LA TIENDA VALIDACION DE FUNCIONALIDAD Y REVISION DE CONFIGURACION DE SISTEMA, SE MODFICARON ALGUNOS PARAMETROS INDICADOS POR HME, VALIDADO ESTO SE PROCEDIO A REALIZAR PRUEBAS CON CONECCION DE SEGUNDO SENSOR DIRECTO, SE REVISA EL ESTADO DE LOS EQUIPOS, SE REEMPLAZAN CONEXIONES POR OTRAS NUEVAS, Y SE ISO PRUEBAS CON EL AUTO, QUEDANDO OPERATIVO LA TIENDA </t>
  </si>
  <si>
    <t>SE PROCEDIO A REVISION FISICA DE LA TIENDA VALIDACION DE FUNCIONALIDAD Y REVISION DE CONFIGURACION DE SISTEMA, VALIDADO ESTO SE PROCEDIO A REALIZAR PRUEBAS CON CONECCION DE ANTENA WIFI EXTERNO SISTEMA FUNCIONA CON NORMALIDAD, SE REVISA EL ESTADO DE LOS EQUIPOS, SE REEMPLAZAN CONEXIONES POR OTRAS NUEVAS, Y SE ISO PRUEBAS CON EL AUTO, SE ISO RUEBAS CON EL PUNTO DESIGANDO A TIENDA Y NO FUNCIONA</t>
  </si>
  <si>
    <t>VALIDACION DE FUNCIONALIDAD Y REVISION DE CONFIGURACION DE LA TIENDA, SE VALIDA EL ESTADO DE LAS CONEXIONES, SE LLEGA A LA CONCLUSION DE QUE EL PROBLEMA SE PRESENTA POR EL BAJO ANCHO DE BANDA DE TIENDA, SE REVISA EL CASO JUNTO AL EQUIPO DE INFRAESTRUCTURA Y SEGURIDAD.</t>
  </si>
  <si>
    <t>KFC 206</t>
  </si>
  <si>
    <t>PUNTAMAR</t>
  </si>
  <si>
    <t>SE PROCEDEIO A REVISION FISICA DE LA TIENDA, LA CONFIGURACION DE TIEMPOS, SE VALIDA EL ESTADO DE LAS CONEXIONES, SE DESCARTA FALLA FISICA, SE REVISA EL CASO JUNTO AL EQUIPO DE INFRAESTRUCTURA Y SEGURIDAD.</t>
  </si>
  <si>
    <t>KFC 11</t>
  </si>
  <si>
    <t>SAN MIGUEL</t>
  </si>
  <si>
    <t>INSTALACION DE BASE EOS NUEVA</t>
  </si>
  <si>
    <t xml:space="preserve">SE PROCEDE A INSTALAR LA BASE EOS Y EL TSP ASI COMO TAMBIEN SE REEMPLAZA Y OPTIMIZA EL CABLEADO TANTO DE LOS SENSORES COMO DE LOS ALTAVOCES Y EL MICROFONO. </t>
  </si>
  <si>
    <t>TIENDA NO FIGURA EN EL REPORTE DIARIO NI SEMANAL</t>
  </si>
  <si>
    <t>TIENDA NO FIGURA EN LOS REPORTES AUTOMATICOS, SE VALIDAN LOS PARAMETROS DE LA TIENDA, SE AGREGA A LA LISTA DE REPORTES SEMANAL.</t>
  </si>
  <si>
    <t>ENTREGA DE 02 AURICULARES + 0S BATERIAS</t>
  </si>
  <si>
    <t xml:space="preserve">SE VISITO FISICAMENTE LA TIENDA SE ISO ENTREGA DE EQUIPOS (02 AURICULARES + 02 BATERIAS) SE VINCULO AL SISTEMA NEXO CORE Y SE CAPACITO PARA EL USO ADECUADO DE ESTOS EQUIPOS </t>
  </si>
  <si>
    <t>VALIDACION DE FUNCIONALIDAD Y REVISION DE CONFIGURACION DE LA TIENDA, SE VALIDA EL ESTADO DE LAS CONEXIONES, SE LLEGA A LA CONCLUSION DE QUE LA SEGUNDA PANTALLA SE DESCONECTO DEL CU, SE PROCEDE A CONECTAR LA PANTALLA NUEVAMENTE APRA SOLUCIONAR EL PROBLEMA</t>
  </si>
  <si>
    <t>SE REPORTO FALLA CON EL CARGADOR DE BATERIAS</t>
  </si>
  <si>
    <t>SE PROCEDEIO A REVISION FISICA DE LA TIENDA, SE REALIZA MANTENIMIENTO CORRECTIVO A LOS EQUIPOS AFECTADOS, SE VALIDA QUE LOS EQUIPOS ESTAN NUEVAMENTE OPERATIVOS PERO SE OBSERVA QUE SERIA NECESARIO UN CAMBIO A CORTO PLAZO</t>
  </si>
  <si>
    <t>SE PROCEDEIO A REVISION FISICA DE LA TIENDA, LA CONFIGURACION DE TIEMPOS, SE VALIDA EL ESTADO DE LAS CONEXIONES, SE REALIZA MANTENIMIENTO A LOS AURICULARES, SE CONFIGURAN NUEVAMENTE LOS EQUIPOS.</t>
  </si>
  <si>
    <t>SE REPORTO INCOSISTENCIA EN EL REPORTE GENERAL</t>
  </si>
  <si>
    <t>VALIDACION FISICA DE LOS COMPONENTES DE TIENDA, SE VALIDA CONFIGURACION DE LA TIENDA, SE REVISA LA CONEXCION A INTERNET DE LA TIENDA, SE DETECTA LENTITUD E INTERMITENCIA LO QUE AFECTA DIRECTAMENTE LA SUBIDA DE INFORMACION AL CLOUD</t>
  </si>
  <si>
    <t xml:space="preserve">VALIDACION REMOTA DE TIENDA, FUNCIONALIDAD Y REVISION DE CONFIGURACION DE AURICULARES, Y CONFIGURACION DE SISTEMA, VALIDADO ESTO SE PROCEDEIO A REVISION DE LA CONFIGURACION DE TIEMPOS, AUTOS FANTASMA Y RECORORIDO, RECONFIGURANDO TODO LOS PARAMETROS Y AJUSTANDO ESTAS A LO ESTABLECIDO POR HME </t>
  </si>
  <si>
    <t xml:space="preserve">SE REPORTO PANEL DE CONTEO DE AUTOS NO ESTA REFLEJANDO INFORMACION </t>
  </si>
  <si>
    <t xml:space="preserve">VALIDACION REMOTA DE TIENDA, FUNCIONALIDAD Y REVISION DE CONFIGURACION DE AURICULARES, Y CONFIGURACION DE SISTEMA, SE PROCEDEIO A REVISION DE LA CONFIGURACION DE TIEMPOS, AUTOS FANTASMA Y RECORORIDO, RECONFIGURANDO TODO LOS PARAMETROS Y AJUSTANDO ESTAS A LO ESTABLECIDO POR HME, SE DETECTA QUE LA TIENDA PRESENTA PROBLEMAS DE INTERMITENCIA Y PERDIDA DE PAQUETES </t>
  </si>
  <si>
    <t>STB 133</t>
  </si>
  <si>
    <t>MAGDALENA</t>
  </si>
  <si>
    <t>SE REPORTO INTERITENCIA EN EL SISTEMA DRIVE THRU</t>
  </si>
  <si>
    <t>VALIDACION DE TIENDA, GERENTE REPORTA INCIDENCIA CON EL SISTEMA DRIVE THRU, VALIDACION DE FUNCIONALIDAD Y REVISION DE CONFIGURACION DE SISTEMA, SE VALIDA EL ESTADO DE LAS CONEXIONES, SE COORDINO UNA SEGUNA VISITA POR SER HORA DE ALTA DEMANDA PARA LA REINSTLACION DEL SISTEMA DRIVE THRU</t>
  </si>
  <si>
    <t>SE REPORTA TIENDA CAIDA, SE REPORTO PERDIDA DE CONEXIÓN DE LOS AURICULARES</t>
  </si>
  <si>
    <t>VALIDACION DE TIENDA, GERENTE REPORTA INCIDENCIA CON EL SISTEMA DRIVE THRU, VALIDACION DE FUNCIONALIDAD Y REVISION DE CONFIGURACION DE SISTEMA, SE VALIDA EL ESTADO DE LAS CONEXIONES, SE REINSTALAN LAS CONEXIONES FISICAS, SE PROCEDE A REINICIAR EL SISTEMA DE FORMA MANUAL.</t>
  </si>
  <si>
    <t>SE PROCEDEIO A REVISION FISICA DE LA TIENDA, LA CONFIGURACION DE TIEMPOS, SE VALIDA EL ESTADO DE LAS CONEXIONES, SE CONFIGURAN NUEVAMENTE LOS AURICULARES DE TIENDA</t>
  </si>
  <si>
    <t>VALIDACION REMOTA DE LOS COMPONENTES DE TIENDA, SE VALIDA CONFIGURACION DE LA TIENDA, SE REVISA LA CONEXCION A INTERNET DE LA TIENDA, SE DETECTA LENTITUD E INTERMITENCIA LO QUE AFECTA DIRECTAMENTE LA SUBIDA DE INFORMACION AL CLOUD, FORMATEO Y ACTIVACION EN LINEA DE TIENDA</t>
  </si>
  <si>
    <t>VALIDACION DE TIENDA, GERENTE REPORTA INCIDENCIA CON EL CONTEO DE AUTOS CON EL SISTEMA DRIVE THRU, VALIDACION DE FUNCIONALIDAD Y REVISION DE CONFIGURACION DE SISTEMA, SE VALIDA EL ESTADO DE LAS CONEXIONES, SE REINSTALAN LAS CONEXIONES FISICAS, SE PROCEDE A REINICIAR EL SISTEMA DE FORMA MANUAL Y VERIFICACION DE ESTADODE SENSORES.</t>
  </si>
  <si>
    <t>TIENDA SOLICITA CAMBIO DE EQUIPOS</t>
  </si>
  <si>
    <t>SE REALZIA VISITA A KFC07, TIENDA SOLICITA 5 BATERIAS Y EL CAMBIO DE SUS HEADPHONE YA QUE ESTOS PRESENTAN DESGASTE POR USO, SE VALIDA EL ESTADO DE LOS EQUIPOS Y LA CONFIGURACION DE LA TIENDA IDENTIFICANDO QUE SOLO SERA NECESARIO EL REEMPLAZO DE LOS EQUIPOS COMPROMETIDOS</t>
  </si>
  <si>
    <t>VALIDACION REMOTA DE TIENDA, FUNCIONALIDAD Y REVISION DE CONFIGURACION DE AURICULARES, Y CONFIGURACION DE SISTEMA, VALIDADO ESTO SE PROCEDIO A REINICIAR LA TIENDA DE FORMA REMOTA.</t>
  </si>
  <si>
    <t>SE REPORTO EQUIPOS DE COMUNICACIÓN CON FALLA</t>
  </si>
  <si>
    <t>SE REALIZO VISITA TIENDA VALIDAMOS FUNCIONAMIENTO, CONFIGURACION DE AURICULARES Y CONFIGURACION DEL SISTEMA, SE CALIBRO EL AUDO Y VOZ PARA SOLUCIONAR EL CASO</t>
  </si>
  <si>
    <t>VALIDACION DE FUNCIONALIDAD Y REVISION DE CONFIGURACION DE LA TIENDA, SE VALIDA EL ESTADO DE LAS CONEXIONES, SE VALIDA QUE EL EQUIPO CU NO ENCIENDE DE MANERA CORRECTA SE PROCEDE A RETIRAR EL EQUIPO PARA SU REVISION</t>
  </si>
  <si>
    <t>VALIDACION DE FUNCIONALIDAD Y REVISION DE CONFIGURACION DE LA TIENDA, SE VALIDA EL ESTADO DE LAS CONEXIONES, SE LLEGA A LA CONCLUSION DE QUE EL PROBLEMA SE PRESENTA POR EL BAJO ANCHO DE BANDA, A FIN DE TENER MAS INFORMACION Y DESCARTAR UNA POSIBLE FALLA DEL EQUIPO SE RETIRA PARA SU REVISION</t>
  </si>
  <si>
    <t>DELOSI</t>
  </si>
  <si>
    <t>LASINO</t>
  </si>
  <si>
    <t>ÍTEM</t>
  </si>
  <si>
    <t>N° DE PARTE</t>
  </si>
  <si>
    <t>DESCRIPCIÓN</t>
  </si>
  <si>
    <t>CANT.</t>
  </si>
  <si>
    <t>PRECIO UNITARIO (US$)</t>
  </si>
  <si>
    <t>TOTAL (US$)</t>
  </si>
  <si>
    <t>C40000-HS3</t>
  </si>
  <si>
    <t>Auricular HS6200, EOS|HD AIO (Inglés/Español/Francés)</t>
  </si>
  <si>
    <t>C11193</t>
  </si>
  <si>
    <t>Cargador, cargador de batería AC50 sin fuente de alimentación / Fuente de alimentación 15W RA para cargador de batería AC50</t>
  </si>
  <si>
    <t>453G014-1</t>
  </si>
  <si>
    <t>Batería para HS6100, HS6200, HS6300, COM6100/ COM6200</t>
  </si>
  <si>
    <t>G30395-1</t>
  </si>
  <si>
    <t>Almohadillas / Orejeras, Paquete de 12 (para HS9, HS12, HS6000)</t>
  </si>
  <si>
    <t>KFC 17</t>
  </si>
  <si>
    <t>COTIZACION POR REMODELACION DE TIENDA</t>
  </si>
  <si>
    <t>TIENDA SOLICITA COTIZAR REVISION Y REINSTALACION DE EQUIPOS POR REMODELACION DE TIENDA</t>
  </si>
  <si>
    <t>VALIDACION REMOTA DE TIENDA, FUNCIONALIDAD Y REVISION DE CONFIGURACION DE AURICULARES, Y CONFIGURACION DE SISTEMA, SE PROCEDEIO A REVISION DE LA CONFIGURACION DE TIEMPOS, AUTOS FANTASMA Y RECORORIDO, RECONFIGURANDO TODO LOS PARAMETROS Y AJUSTANDO ESTAS A LO ESTABLECIDO POR HME, SE OPTIMIZAN LAS CONEXIONES SE CANALIZA NUEVAMENTE LA TIENDA, TIENDA PERMANECE BAJO OBSERVACION HASTA DETERMINAR QUE SE SOLUCIONO EL PROBLEMA</t>
  </si>
  <si>
    <t xml:space="preserve">SE REPORTARON AUTOS FANTASMA // PANEL DE CONTEO DE AUTOS NO ESTA REFLEJANDO INFORMACION </t>
  </si>
  <si>
    <t xml:space="preserve">VALIDACION DE TIENDA, GERENTE REPORTA INCIDENCIA CON EL SISTEMA DRIVE THRU, VALIDACION DE FUNCIONALIDAD Y REVISION DE CONFIGURACION DE SISTEMA, SE VALIDA EL ESTADO DE LAS CONEXIONES, SE REINSTALAN LAS CONEXIONES FISICAS, SE PROCEDE A RECABLEADO GENERAL Y REUBICACION DE CANALETAS SENSOR 02 DRIVE TRHU, PRUEBAS DE FUNCIONALIDAD Y SEGUIMIENTO </t>
  </si>
  <si>
    <t>STB 91</t>
  </si>
  <si>
    <t>INOPERATIVO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</si>
</sst>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409]#,##0.00"/>
    <numFmt numFmtId="165" formatCode="[$$-540A]#,##0.00"/>
    <numFmt numFmtId="166" formatCode="&quot;$&quot;#,##0.00"/>
  </numFmts>
  <fonts count="13" x14ac:knownFonts="1">
    <font>
      <sz val="11"/>
      <color theme="1"/>
      <name val="Calibri"/>
      <family val="2"/>
      <scheme val="minor"/>
    </font>
    <font>
      <sz val="11"/>
      <color theme="1"/>
      <name val="Bahnschrift Condensed"/>
      <family val="2"/>
    </font>
    <font>
      <sz val="11"/>
      <color rgb="FFFF0000"/>
      <name val="Bahnschrift Condensed"/>
      <family val="2"/>
    </font>
    <font>
      <b/>
      <sz val="11"/>
      <color rgb="FFFFFFFF"/>
      <name val="Calibri"/>
      <family val="2"/>
    </font>
    <font>
      <sz val="11"/>
      <color rgb="FFFFFFFF"/>
      <name val="Calibri"/>
      <family val="2"/>
    </font>
    <font>
      <sz val="11"/>
      <color rgb="FF000000"/>
      <name val="Calibri"/>
      <family val="2"/>
    </font>
    <font>
      <sz val="11"/>
      <color rgb="FF1F497D"/>
      <name val="Calibri"/>
      <family val="2"/>
    </font>
    <font>
      <sz val="11"/>
      <name val="Calibri"/>
      <family val="2"/>
      <scheme val="minor"/>
    </font>
    <font>
      <u/>
      <sz val="10"/>
      <color theme="10"/>
      <name val="Calibri"/>
      <family val="2"/>
      <scheme val="minor"/>
    </font>
    <font>
      <sz val="11"/>
      <name val="Bahnschrift Condensed"/>
      <family val="2"/>
    </font>
    <font>
      <sz val="11"/>
      <color rgb="FF000000"/>
      <name val="Calibri"/>
      <family val="2"/>
      <scheme val="minor"/>
    </font>
    <font>
      <b/>
      <sz val="11"/>
      <color rgb="FFFFFFFF"/>
      <name val="Calibri"/>
    </font>
    <font>
      <sz val="10"/>
      <color rgb="FF000000"/>
      <name val="Calibri"/>
    </font>
  </fonts>
  <fills count="15">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59999389629810485"/>
        <bgColor indexed="64"/>
      </patternFill>
    </fill>
    <fill>
      <patternFill patternType="solid">
        <fgColor rgb="FF2F75B5"/>
        <bgColor indexed="64"/>
      </patternFill>
    </fill>
    <fill>
      <patternFill patternType="solid">
        <fgColor rgb="FFFFC000"/>
        <bgColor indexed="64"/>
      </patternFill>
    </fill>
    <fill>
      <patternFill patternType="solid">
        <fgColor rgb="FF92D050"/>
        <bgColor indexed="64"/>
      </patternFill>
    </fill>
    <fill>
      <patternFill patternType="solid">
        <fgColor rgb="FF1F4E79"/>
        <bgColor rgb="FF1F4E79"/>
      </patternFill>
    </fill>
    <fill>
      <patternFill patternType="solid">
        <fgColor theme="0"/>
        <bgColor rgb="FFF2F4F7"/>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thin">
        <color indexed="64"/>
      </left>
      <right style="thin">
        <color indexed="64"/>
      </right>
      <top/>
      <bottom/>
      <diagonal/>
    </border>
  </borders>
  <cellStyleXfs count="2">
    <xf numFmtId="0" fontId="0" fillId="0" borderId="0"/>
    <xf numFmtId="0" fontId="8" fillId="0" borderId="0" applyNumberFormat="0" applyFill="0" applyBorder="0" applyAlignment="0" applyProtection="0"/>
  </cellStyleXfs>
  <cellXfs count="56">
    <xf numFmtId="0" fontId="0" fillId="0" borderId="0" xfId="0"/>
    <xf numFmtId="0" fontId="1" fillId="0" borderId="0" xfId="0" applyFont="1"/>
    <xf numFmtId="0" fontId="1" fillId="0" borderId="0" xfId="0" applyFont="1" applyAlignment="1">
      <alignment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3"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0" fillId="0" borderId="0" xfId="0" applyAlignment="1">
      <alignment horizontal="center" vertical="center" wrapText="1"/>
    </xf>
    <xf numFmtId="0" fontId="6"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2"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7" fillId="0" borderId="1" xfId="0" applyFont="1" applyBorder="1" applyAlignment="1">
      <alignment horizontal="center" vertical="center" wrapText="1"/>
    </xf>
    <xf numFmtId="0" fontId="7" fillId="0" borderId="1" xfId="1" applyFont="1" applyFill="1" applyBorder="1" applyAlignment="1">
      <alignment horizontal="center" vertical="center" wrapText="1"/>
    </xf>
    <xf numFmtId="0" fontId="1" fillId="7" borderId="1" xfId="0" applyFont="1" applyFill="1" applyBorder="1"/>
    <xf numFmtId="0" fontId="1" fillId="7" borderId="1" xfId="0" applyFont="1" applyFill="1" applyBorder="1" applyAlignment="1">
      <alignment horizontal="center" vertical="center"/>
    </xf>
    <xf numFmtId="0" fontId="1" fillId="7" borderId="0" xfId="0" applyFont="1" applyFill="1"/>
    <xf numFmtId="0" fontId="5" fillId="0" borderId="1" xfId="0" applyFont="1" applyBorder="1" applyAlignment="1">
      <alignment horizontal="center" vertical="center"/>
    </xf>
    <xf numFmtId="0" fontId="6" fillId="0" borderId="1" xfId="0" applyFont="1" applyBorder="1" applyAlignment="1">
      <alignment horizontal="center" vertical="center"/>
    </xf>
    <xf numFmtId="14" fontId="5"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7" fillId="0" borderId="1" xfId="0" applyFont="1" applyBorder="1" applyAlignment="1">
      <alignment horizontal="center" vertical="center"/>
    </xf>
    <xf numFmtId="0" fontId="1" fillId="10" borderId="1" xfId="0" applyFont="1" applyFill="1" applyBorder="1"/>
    <xf numFmtId="0" fontId="1" fillId="10" borderId="1" xfId="0" applyFont="1" applyFill="1" applyBorder="1" applyAlignment="1">
      <alignment horizontal="center" vertical="center" wrapText="1"/>
    </xf>
    <xf numFmtId="0" fontId="1" fillId="10" borderId="1" xfId="0" applyFont="1" applyFill="1" applyBorder="1" applyAlignment="1">
      <alignment horizontal="center" vertical="center"/>
    </xf>
    <xf numFmtId="0" fontId="1" fillId="10" borderId="0" xfId="0" applyFont="1" applyFill="1"/>
    <xf numFmtId="0" fontId="9" fillId="11" borderId="1" xfId="0" applyFont="1" applyFill="1" applyBorder="1"/>
    <xf numFmtId="0" fontId="9" fillId="11" borderId="1" xfId="0" applyFont="1" applyFill="1" applyBorder="1" applyAlignment="1">
      <alignment horizontal="center" vertical="center" wrapText="1"/>
    </xf>
    <xf numFmtId="0" fontId="9" fillId="11" borderId="1" xfId="0" applyFont="1" applyFill="1" applyBorder="1" applyAlignment="1">
      <alignment horizontal="center" vertical="center"/>
    </xf>
    <xf numFmtId="0" fontId="9" fillId="11" borderId="0" xfId="0" applyFont="1" applyFill="1"/>
    <xf numFmtId="2" fontId="0" fillId="0" borderId="1" xfId="0" applyNumberFormat="1" applyBorder="1" applyAlignment="1">
      <alignment horizontal="center" vertical="center"/>
    </xf>
    <xf numFmtId="14" fontId="0" fillId="0" borderId="1" xfId="0" applyNumberFormat="1" applyBorder="1" applyAlignment="1">
      <alignment horizontal="center" vertical="center"/>
    </xf>
    <xf numFmtId="164" fontId="5" fillId="0" borderId="1" xfId="0" applyNumberFormat="1" applyFont="1" applyBorder="1" applyAlignment="1">
      <alignment horizontal="center" vertical="center" wrapText="1"/>
    </xf>
    <xf numFmtId="165" fontId="0" fillId="0" borderId="1" xfId="0" applyNumberFormat="1" applyBorder="1" applyAlignment="1">
      <alignment horizontal="center" vertical="center"/>
    </xf>
    <xf numFmtId="14" fontId="10" fillId="0" borderId="1" xfId="0" applyNumberFormat="1" applyFont="1" applyBorder="1" applyAlignment="1">
      <alignment horizontal="center" vertical="center" wrapText="1"/>
    </xf>
    <xf numFmtId="0" fontId="0" fillId="0" borderId="2" xfId="0" applyBorder="1" applyAlignment="1">
      <alignment horizontal="center" vertical="center"/>
    </xf>
    <xf numFmtId="0" fontId="0" fillId="14" borderId="0" xfId="0" applyFill="1" applyBorder="1" applyAlignment="1">
      <alignment horizontal="center" vertical="center"/>
    </xf>
    <xf numFmtId="0" fontId="0" fillId="0" borderId="3" xfId="0" applyBorder="1" applyAlignment="1">
      <alignment horizontal="center" vertical="center"/>
    </xf>
    <xf numFmtId="0" fontId="0" fillId="0" borderId="0" xfId="0" applyBorder="1" applyAlignment="1">
      <alignment horizontal="center" vertical="center"/>
    </xf>
    <xf numFmtId="0" fontId="11" fillId="12" borderId="1" xfId="0" applyFont="1" applyFill="1" applyBorder="1" applyAlignment="1">
      <alignment horizontal="center" vertical="center"/>
    </xf>
    <xf numFmtId="0" fontId="12" fillId="14" borderId="1" xfId="0" applyFont="1" applyFill="1" applyBorder="1" applyAlignment="1">
      <alignment horizontal="center" vertical="center"/>
    </xf>
    <xf numFmtId="166" fontId="12" fillId="14" borderId="1" xfId="0" applyNumberFormat="1" applyFont="1" applyFill="1" applyBorder="1" applyAlignment="1">
      <alignment horizontal="center" vertical="center"/>
    </xf>
    <xf numFmtId="0" fontId="12" fillId="13" borderId="1" xfId="0" applyFont="1" applyFill="1" applyBorder="1" applyAlignment="1">
      <alignment horizontal="center" vertical="center"/>
    </xf>
    <xf numFmtId="166" fontId="12" fillId="13" borderId="1" xfId="0" applyNumberFormat="1" applyFont="1" applyFill="1" applyBorder="1" applyAlignment="1">
      <alignment horizontal="center" vertical="center"/>
    </xf>
    <xf numFmtId="0" fontId="5" fillId="0" borderId="4" xfId="0" applyFont="1" applyFill="1" applyBorder="1" applyAlignment="1">
      <alignment horizontal="center" vertical="center"/>
    </xf>
    <xf numFmtId="0" fontId="5" fillId="0" borderId="4" xfId="0" applyFont="1" applyFill="1" applyBorder="1" applyAlignment="1">
      <alignment horizontal="center" vertical="center" wrapText="1"/>
    </xf>
    <xf numFmtId="164" fontId="0" fillId="0" borderId="1" xfId="0" applyNumberForma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
  <sheetViews>
    <sheetView tabSelected="1" workbookViewId="0">
      <pane xSplit="3" topLeftCell="D1" activePane="topRight" state="frozen"/>
      <selection pane="topRight" activeCell="M7" sqref="M7"/>
    </sheetView>
  </sheetViews>
  <sheetFormatPr baseColWidth="10" defaultColWidth="9.140625" defaultRowHeight="14.25" x14ac:dyDescent="0.2"/>
  <cols>
    <col min="1" max="1" width="2.7109375" style="1" bestFit="1" customWidth="1"/>
    <col min="2" max="2" width="6" style="1" bestFit="1" customWidth="1"/>
    <col min="3" max="3" width="6.7109375" style="1" bestFit="1" customWidth="1"/>
    <col min="4" max="4" width="10" style="1" bestFit="1" customWidth="1"/>
    <col min="5" max="19" width="10.7109375" style="2" customWidth="1"/>
    <col min="20" max="23" width="12.140625" style="2" customWidth="1"/>
    <col min="24" max="24" width="9.85546875" style="1" bestFit="1" customWidth="1"/>
    <col min="25" max="25" width="17.42578125" style="1" bestFit="1" customWidth="1"/>
    <col min="26" max="26" width="13.42578125" style="1" customWidth="1"/>
    <col min="27" max="16384" width="9.140625" style="1"/>
  </cols>
  <sheetData>
    <row r="1" spans="1:26" ht="27.75" customHeight="1" x14ac:dyDescent="0.2">
      <c r="A1" s="3" t="s">
        <v>0</v>
      </c>
      <c r="B1" s="3" t="s">
        <v>1</v>
      </c>
      <c r="C1" s="3" t="s">
        <v>2</v>
      </c>
      <c r="D1" s="3" t="s">
        <v>3</v>
      </c>
      <c r="E1" s="4" t="s">
        <v>4</v>
      </c>
      <c r="F1" s="4" t="s">
        <v>5</v>
      </c>
      <c r="G1" s="4" t="s">
        <v>6</v>
      </c>
      <c r="H1" s="5" t="s">
        <v>10</v>
      </c>
      <c r="I1" s="5" t="s">
        <v>39</v>
      </c>
      <c r="J1" s="6" t="s">
        <v>11</v>
      </c>
      <c r="K1" s="6" t="s">
        <v>12</v>
      </c>
      <c r="L1" s="6" t="s">
        <v>13</v>
      </c>
      <c r="M1" s="9" t="s">
        <v>40</v>
      </c>
      <c r="N1" s="9" t="s">
        <v>43</v>
      </c>
      <c r="O1" s="9" t="s">
        <v>41</v>
      </c>
      <c r="P1" s="9" t="s">
        <v>44</v>
      </c>
      <c r="Q1" s="9" t="s">
        <v>42</v>
      </c>
      <c r="R1" s="9" t="s">
        <v>107</v>
      </c>
      <c r="S1" s="9" t="s">
        <v>47</v>
      </c>
      <c r="T1" s="8" t="s">
        <v>7</v>
      </c>
      <c r="U1" s="8" t="s">
        <v>8</v>
      </c>
      <c r="V1" s="7" t="s">
        <v>9</v>
      </c>
      <c r="W1" s="7" t="s">
        <v>45</v>
      </c>
      <c r="X1" s="3" t="s">
        <v>14</v>
      </c>
      <c r="Y1" s="3" t="s">
        <v>15</v>
      </c>
      <c r="Z1" s="10" t="s">
        <v>48</v>
      </c>
    </row>
    <row r="2" spans="1:26" s="32" customFormat="1" x14ac:dyDescent="0.2">
      <c r="A2" s="29">
        <v>1</v>
      </c>
      <c r="B2" s="29" t="s">
        <v>16</v>
      </c>
      <c r="C2" s="29" t="s">
        <v>17</v>
      </c>
      <c r="D2" s="29" t="s">
        <v>18</v>
      </c>
      <c r="E2" s="30">
        <v>6</v>
      </c>
      <c r="F2" s="30">
        <v>1</v>
      </c>
      <c r="G2" s="30">
        <v>7</v>
      </c>
      <c r="H2" s="30">
        <v>1</v>
      </c>
      <c r="I2" s="30" t="s">
        <v>26</v>
      </c>
      <c r="J2" s="31">
        <v>7</v>
      </c>
      <c r="K2" s="31">
        <v>0</v>
      </c>
      <c r="L2" s="31">
        <v>7</v>
      </c>
      <c r="M2" s="30">
        <v>1</v>
      </c>
      <c r="N2" s="30" t="s">
        <v>23</v>
      </c>
      <c r="O2" s="30">
        <v>1</v>
      </c>
      <c r="P2" s="30" t="s">
        <v>23</v>
      </c>
      <c r="Q2" s="30">
        <v>1</v>
      </c>
      <c r="R2" s="30" t="s">
        <v>23</v>
      </c>
      <c r="S2" s="30">
        <v>2</v>
      </c>
      <c r="T2" s="30">
        <v>1</v>
      </c>
      <c r="U2" s="30">
        <v>1</v>
      </c>
      <c r="V2" s="30">
        <v>1</v>
      </c>
      <c r="W2" s="30" t="s">
        <v>23</v>
      </c>
      <c r="X2" s="31" t="s">
        <v>23</v>
      </c>
      <c r="Y2" s="31" t="s">
        <v>147</v>
      </c>
      <c r="Z2" s="31" t="s">
        <v>54</v>
      </c>
    </row>
    <row r="3" spans="1:26" s="32" customFormat="1" x14ac:dyDescent="0.2">
      <c r="A3" s="29">
        <v>2</v>
      </c>
      <c r="B3" s="29" t="s">
        <v>16</v>
      </c>
      <c r="C3" s="29" t="s">
        <v>19</v>
      </c>
      <c r="D3" s="29" t="s">
        <v>20</v>
      </c>
      <c r="E3" s="30">
        <v>6</v>
      </c>
      <c r="F3" s="30">
        <v>0</v>
      </c>
      <c r="G3" s="30">
        <v>6</v>
      </c>
      <c r="H3" s="30">
        <v>1</v>
      </c>
      <c r="I3" s="30" t="s">
        <v>46</v>
      </c>
      <c r="J3" s="31">
        <v>5</v>
      </c>
      <c r="K3" s="31">
        <v>0</v>
      </c>
      <c r="L3" s="31">
        <v>5</v>
      </c>
      <c r="M3" s="30">
        <v>1</v>
      </c>
      <c r="N3" s="30" t="s">
        <v>23</v>
      </c>
      <c r="O3" s="30">
        <v>1</v>
      </c>
      <c r="P3" s="30" t="s">
        <v>23</v>
      </c>
      <c r="Q3" s="30">
        <v>1</v>
      </c>
      <c r="R3" s="30" t="s">
        <v>23</v>
      </c>
      <c r="S3" s="30">
        <v>3</v>
      </c>
      <c r="T3" s="30">
        <v>1</v>
      </c>
      <c r="U3" s="30">
        <v>1</v>
      </c>
      <c r="V3" s="30">
        <v>1</v>
      </c>
      <c r="W3" s="30" t="s">
        <v>23</v>
      </c>
      <c r="X3" s="31" t="s">
        <v>23</v>
      </c>
      <c r="Y3" s="31" t="s">
        <v>148</v>
      </c>
      <c r="Z3" s="31" t="s">
        <v>55</v>
      </c>
    </row>
    <row r="4" spans="1:26" s="32" customFormat="1" x14ac:dyDescent="0.2">
      <c r="A4" s="29">
        <v>3</v>
      </c>
      <c r="B4" s="29" t="s">
        <v>16</v>
      </c>
      <c r="C4" s="29" t="s">
        <v>21</v>
      </c>
      <c r="D4" s="29" t="s">
        <v>22</v>
      </c>
      <c r="E4" s="30">
        <v>4</v>
      </c>
      <c r="F4" s="30">
        <v>2</v>
      </c>
      <c r="G4" s="30">
        <f t="shared" ref="G4:G11" si="0">E4+F4</f>
        <v>6</v>
      </c>
      <c r="H4" s="30">
        <v>1</v>
      </c>
      <c r="I4" s="30" t="s">
        <v>23</v>
      </c>
      <c r="J4" s="31">
        <v>5</v>
      </c>
      <c r="K4" s="31">
        <v>0</v>
      </c>
      <c r="L4" s="31">
        <v>5</v>
      </c>
      <c r="M4" s="30">
        <v>1</v>
      </c>
      <c r="N4" s="30" t="s">
        <v>234</v>
      </c>
      <c r="O4" s="30">
        <v>1</v>
      </c>
      <c r="P4" s="30" t="s">
        <v>23</v>
      </c>
      <c r="Q4" s="30">
        <v>1</v>
      </c>
      <c r="R4" s="30" t="s">
        <v>23</v>
      </c>
      <c r="S4" s="30">
        <v>2</v>
      </c>
      <c r="T4" s="30">
        <v>1</v>
      </c>
      <c r="U4" s="30">
        <v>1</v>
      </c>
      <c r="V4" s="30">
        <v>1</v>
      </c>
      <c r="W4" s="30" t="s">
        <v>23</v>
      </c>
      <c r="X4" s="31" t="s">
        <v>23</v>
      </c>
      <c r="Y4" s="31"/>
      <c r="Z4" s="31" t="s">
        <v>52</v>
      </c>
    </row>
    <row r="5" spans="1:26" s="22" customFormat="1" x14ac:dyDescent="0.2">
      <c r="A5" s="20">
        <v>4</v>
      </c>
      <c r="B5" s="20" t="s">
        <v>16</v>
      </c>
      <c r="C5" s="20" t="s">
        <v>24</v>
      </c>
      <c r="D5" s="20" t="s">
        <v>25</v>
      </c>
      <c r="E5" s="9">
        <v>5</v>
      </c>
      <c r="F5" s="9">
        <v>0</v>
      </c>
      <c r="G5" s="9">
        <f t="shared" si="0"/>
        <v>5</v>
      </c>
      <c r="H5" s="9">
        <v>1</v>
      </c>
      <c r="I5" s="9" t="s">
        <v>23</v>
      </c>
      <c r="J5" s="21">
        <v>5</v>
      </c>
      <c r="K5" s="21">
        <v>0</v>
      </c>
      <c r="L5" s="21">
        <v>5</v>
      </c>
      <c r="M5" s="9">
        <v>1</v>
      </c>
      <c r="N5" s="9" t="s">
        <v>23</v>
      </c>
      <c r="O5" s="9">
        <v>1</v>
      </c>
      <c r="P5" s="9" t="s">
        <v>23</v>
      </c>
      <c r="Q5" s="9">
        <v>1</v>
      </c>
      <c r="R5" s="9" t="s">
        <v>23</v>
      </c>
      <c r="S5" s="9">
        <v>2</v>
      </c>
      <c r="T5" s="9">
        <v>1</v>
      </c>
      <c r="U5" s="9">
        <v>1</v>
      </c>
      <c r="V5" s="9">
        <v>1</v>
      </c>
      <c r="W5" s="9" t="s">
        <v>23</v>
      </c>
      <c r="X5" s="21" t="s">
        <v>23</v>
      </c>
      <c r="Y5" s="21" t="s">
        <v>112</v>
      </c>
      <c r="Z5" s="21" t="s">
        <v>49</v>
      </c>
    </row>
    <row r="6" spans="1:26" s="32" customFormat="1" x14ac:dyDescent="0.2">
      <c r="A6" s="29">
        <v>5</v>
      </c>
      <c r="B6" s="29" t="s">
        <v>16</v>
      </c>
      <c r="C6" s="29" t="s">
        <v>27</v>
      </c>
      <c r="D6" s="29" t="s">
        <v>28</v>
      </c>
      <c r="E6" s="30">
        <v>3</v>
      </c>
      <c r="F6" s="30">
        <v>4</v>
      </c>
      <c r="G6" s="30">
        <v>7</v>
      </c>
      <c r="H6" s="30">
        <v>1</v>
      </c>
      <c r="I6" s="30" t="s">
        <v>23</v>
      </c>
      <c r="J6" s="31">
        <v>5</v>
      </c>
      <c r="K6" s="31">
        <v>0</v>
      </c>
      <c r="L6" s="31">
        <f t="shared" ref="L6:L11" si="1">J6+K6</f>
        <v>5</v>
      </c>
      <c r="M6" s="30">
        <v>1</v>
      </c>
      <c r="N6" s="30" t="s">
        <v>23</v>
      </c>
      <c r="O6" s="30">
        <v>1</v>
      </c>
      <c r="P6" s="30" t="s">
        <v>23</v>
      </c>
      <c r="Q6" s="30">
        <v>1</v>
      </c>
      <c r="R6" s="30" t="s">
        <v>23</v>
      </c>
      <c r="S6" s="30">
        <v>2</v>
      </c>
      <c r="T6" s="30">
        <v>1</v>
      </c>
      <c r="U6" s="30">
        <v>1</v>
      </c>
      <c r="V6" s="30">
        <v>1</v>
      </c>
      <c r="W6" s="30" t="s">
        <v>23</v>
      </c>
      <c r="X6" s="31" t="s">
        <v>23</v>
      </c>
      <c r="Y6" s="31" t="s">
        <v>145</v>
      </c>
      <c r="Z6" s="31" t="s">
        <v>51</v>
      </c>
    </row>
    <row r="7" spans="1:26" s="32" customFormat="1" x14ac:dyDescent="0.2">
      <c r="A7" s="29">
        <v>6</v>
      </c>
      <c r="B7" s="29" t="s">
        <v>16</v>
      </c>
      <c r="C7" s="29" t="s">
        <v>29</v>
      </c>
      <c r="D7" s="29" t="s">
        <v>30</v>
      </c>
      <c r="E7" s="30">
        <v>3</v>
      </c>
      <c r="F7" s="30">
        <v>3</v>
      </c>
      <c r="G7" s="30">
        <v>6</v>
      </c>
      <c r="H7" s="30">
        <v>1</v>
      </c>
      <c r="I7" s="30" t="s">
        <v>23</v>
      </c>
      <c r="J7" s="31">
        <v>4</v>
      </c>
      <c r="K7" s="31">
        <v>0</v>
      </c>
      <c r="L7" s="31">
        <v>4</v>
      </c>
      <c r="M7" s="30">
        <v>1</v>
      </c>
      <c r="N7" s="30" t="s">
        <v>234</v>
      </c>
      <c r="O7" s="30">
        <v>1</v>
      </c>
      <c r="P7" s="30" t="s">
        <v>23</v>
      </c>
      <c r="Q7" s="30">
        <v>1</v>
      </c>
      <c r="R7" s="30" t="s">
        <v>23</v>
      </c>
      <c r="S7" s="30">
        <v>2</v>
      </c>
      <c r="T7" s="30">
        <v>1</v>
      </c>
      <c r="U7" s="30">
        <v>1</v>
      </c>
      <c r="V7" s="30">
        <v>1</v>
      </c>
      <c r="W7" s="30" t="s">
        <v>23</v>
      </c>
      <c r="X7" s="31" t="s">
        <v>23</v>
      </c>
      <c r="Y7" s="31"/>
      <c r="Z7" s="31" t="s">
        <v>53</v>
      </c>
    </row>
    <row r="8" spans="1:26" s="36" customFormat="1" x14ac:dyDescent="0.2">
      <c r="A8" s="33">
        <v>7</v>
      </c>
      <c r="B8" s="33" t="s">
        <v>16</v>
      </c>
      <c r="C8" s="33" t="s">
        <v>31</v>
      </c>
      <c r="D8" s="33" t="s">
        <v>32</v>
      </c>
      <c r="E8" s="34">
        <v>4</v>
      </c>
      <c r="F8" s="34">
        <v>2</v>
      </c>
      <c r="G8" s="34">
        <f>E8+F8</f>
        <v>6</v>
      </c>
      <c r="H8" s="34">
        <v>1</v>
      </c>
      <c r="I8" s="34" t="s">
        <v>23</v>
      </c>
      <c r="J8" s="35">
        <v>6</v>
      </c>
      <c r="K8" s="35">
        <v>0</v>
      </c>
      <c r="L8" s="35">
        <f t="shared" si="1"/>
        <v>6</v>
      </c>
      <c r="M8" s="34">
        <v>1</v>
      </c>
      <c r="N8" s="34" t="s">
        <v>108</v>
      </c>
      <c r="O8" s="34">
        <v>1</v>
      </c>
      <c r="P8" s="34" t="s">
        <v>23</v>
      </c>
      <c r="Q8" s="34">
        <v>1</v>
      </c>
      <c r="R8" s="34" t="s">
        <v>23</v>
      </c>
      <c r="S8" s="34">
        <v>2</v>
      </c>
      <c r="T8" s="34">
        <v>1</v>
      </c>
      <c r="U8" s="34">
        <v>1</v>
      </c>
      <c r="V8" s="34">
        <v>1</v>
      </c>
      <c r="W8" s="34" t="s">
        <v>23</v>
      </c>
      <c r="X8" s="35" t="s">
        <v>23</v>
      </c>
      <c r="Y8" s="35" t="s">
        <v>146</v>
      </c>
      <c r="Z8" s="35" t="s">
        <v>50</v>
      </c>
    </row>
    <row r="9" spans="1:26" s="32" customFormat="1" x14ac:dyDescent="0.2">
      <c r="A9" s="29">
        <v>8</v>
      </c>
      <c r="B9" s="29" t="s">
        <v>16</v>
      </c>
      <c r="C9" s="29" t="s">
        <v>33</v>
      </c>
      <c r="D9" s="29" t="s">
        <v>34</v>
      </c>
      <c r="E9" s="30">
        <v>4</v>
      </c>
      <c r="F9" s="30">
        <v>4</v>
      </c>
      <c r="G9" s="30">
        <v>8</v>
      </c>
      <c r="H9" s="30">
        <v>1</v>
      </c>
      <c r="I9" s="30" t="s">
        <v>26</v>
      </c>
      <c r="J9" s="31">
        <v>6</v>
      </c>
      <c r="K9" s="31">
        <v>0</v>
      </c>
      <c r="L9" s="31">
        <v>6</v>
      </c>
      <c r="M9" s="30">
        <v>1</v>
      </c>
      <c r="N9" s="30" t="s">
        <v>23</v>
      </c>
      <c r="O9" s="30">
        <v>1</v>
      </c>
      <c r="P9" s="30" t="s">
        <v>23</v>
      </c>
      <c r="Q9" s="30">
        <v>1</v>
      </c>
      <c r="R9" s="30" t="s">
        <v>23</v>
      </c>
      <c r="S9" s="30">
        <v>2</v>
      </c>
      <c r="T9" s="30">
        <v>1</v>
      </c>
      <c r="U9" s="30">
        <v>1</v>
      </c>
      <c r="V9" s="30">
        <v>1</v>
      </c>
      <c r="W9" s="30" t="s">
        <v>23</v>
      </c>
      <c r="X9" s="31" t="s">
        <v>23</v>
      </c>
      <c r="Y9" s="31" t="s">
        <v>149</v>
      </c>
      <c r="Z9" s="31" t="s">
        <v>56</v>
      </c>
    </row>
    <row r="10" spans="1:26" s="32" customFormat="1" x14ac:dyDescent="0.2">
      <c r="A10" s="29">
        <v>9</v>
      </c>
      <c r="B10" s="29" t="s">
        <v>35</v>
      </c>
      <c r="C10" s="29" t="s">
        <v>36</v>
      </c>
      <c r="D10" s="29" t="s">
        <v>34</v>
      </c>
      <c r="E10" s="30">
        <v>5</v>
      </c>
      <c r="F10" s="30">
        <v>0</v>
      </c>
      <c r="G10" s="30">
        <v>5</v>
      </c>
      <c r="H10" s="30">
        <v>1</v>
      </c>
      <c r="I10" s="30" t="s">
        <v>23</v>
      </c>
      <c r="J10" s="31">
        <v>9</v>
      </c>
      <c r="K10" s="31">
        <v>0</v>
      </c>
      <c r="L10" s="31">
        <v>9</v>
      </c>
      <c r="M10" s="30">
        <v>1</v>
      </c>
      <c r="N10" s="30" t="s">
        <v>23</v>
      </c>
      <c r="O10" s="30">
        <v>1</v>
      </c>
      <c r="P10" s="30" t="s">
        <v>23</v>
      </c>
      <c r="Q10" s="30">
        <v>1</v>
      </c>
      <c r="R10" s="30" t="s">
        <v>23</v>
      </c>
      <c r="S10" s="30">
        <v>4</v>
      </c>
      <c r="T10" s="30">
        <v>1</v>
      </c>
      <c r="U10" s="30">
        <v>1</v>
      </c>
      <c r="V10" s="30">
        <v>1</v>
      </c>
      <c r="W10" s="30" t="s">
        <v>23</v>
      </c>
      <c r="X10" s="31" t="s">
        <v>23</v>
      </c>
      <c r="Y10" s="31"/>
      <c r="Z10" s="31" t="s">
        <v>57</v>
      </c>
    </row>
    <row r="11" spans="1:26" s="32" customFormat="1" x14ac:dyDescent="0.2">
      <c r="A11" s="29">
        <v>10</v>
      </c>
      <c r="B11" s="29" t="s">
        <v>35</v>
      </c>
      <c r="C11" s="29" t="s">
        <v>37</v>
      </c>
      <c r="D11" s="29" t="s">
        <v>38</v>
      </c>
      <c r="E11" s="30">
        <v>5</v>
      </c>
      <c r="F11" s="30">
        <v>1</v>
      </c>
      <c r="G11" s="30">
        <f t="shared" si="0"/>
        <v>6</v>
      </c>
      <c r="H11" s="30">
        <v>1</v>
      </c>
      <c r="I11" s="30" t="s">
        <v>23</v>
      </c>
      <c r="J11" s="31">
        <v>8</v>
      </c>
      <c r="K11" s="31">
        <v>0</v>
      </c>
      <c r="L11" s="31">
        <f t="shared" si="1"/>
        <v>8</v>
      </c>
      <c r="M11" s="30">
        <v>1</v>
      </c>
      <c r="N11" s="30" t="s">
        <v>23</v>
      </c>
      <c r="O11" s="30">
        <v>1</v>
      </c>
      <c r="P11" s="30" t="s">
        <v>23</v>
      </c>
      <c r="Q11" s="30">
        <v>1</v>
      </c>
      <c r="R11" s="30" t="s">
        <v>23</v>
      </c>
      <c r="S11" s="30">
        <v>4</v>
      </c>
      <c r="T11" s="30">
        <v>1</v>
      </c>
      <c r="U11" s="30">
        <v>1</v>
      </c>
      <c r="V11" s="30">
        <v>1</v>
      </c>
      <c r="W11" s="30" t="s">
        <v>23</v>
      </c>
      <c r="X11" s="31" t="s">
        <v>23</v>
      </c>
      <c r="Y11" s="31"/>
      <c r="Z11" s="31" t="s">
        <v>58</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4"/>
  <sheetViews>
    <sheetView topLeftCell="C1" zoomScale="85" zoomScaleNormal="85" workbookViewId="0">
      <selection activeCell="G75" sqref="G75"/>
    </sheetView>
  </sheetViews>
  <sheetFormatPr baseColWidth="10" defaultRowHeight="15" x14ac:dyDescent="0.25"/>
  <cols>
    <col min="1" max="1" width="12.28515625" style="13" bestFit="1" customWidth="1"/>
    <col min="2" max="3" width="11.42578125" style="13"/>
    <col min="4" max="4" width="16.7109375" style="13" customWidth="1"/>
    <col min="5" max="5" width="11.42578125" style="13"/>
    <col min="6" max="6" width="19.140625" style="13" bestFit="1" customWidth="1"/>
    <col min="7" max="7" width="12.7109375" style="13" bestFit="1" customWidth="1"/>
    <col min="8" max="8" width="15.42578125" style="13" customWidth="1"/>
    <col min="9" max="9" width="21.28515625" style="13" customWidth="1"/>
    <col min="10" max="10" width="47.85546875" style="13" customWidth="1"/>
    <col min="11" max="11" width="11.42578125" style="13"/>
    <col min="12" max="12" width="21.7109375" style="13" customWidth="1"/>
    <col min="13" max="16384" width="11.42578125" style="13"/>
  </cols>
  <sheetData>
    <row r="1" spans="1:14" ht="30" x14ac:dyDescent="0.25">
      <c r="A1" s="11" t="s">
        <v>59</v>
      </c>
      <c r="B1" s="11" t="s">
        <v>2</v>
      </c>
      <c r="C1" s="11" t="s">
        <v>60</v>
      </c>
      <c r="D1" s="11" t="s">
        <v>61</v>
      </c>
      <c r="E1" s="11" t="s">
        <v>62</v>
      </c>
      <c r="F1" s="11" t="s">
        <v>63</v>
      </c>
      <c r="G1" s="11" t="s">
        <v>64</v>
      </c>
      <c r="H1" s="11" t="s">
        <v>65</v>
      </c>
      <c r="I1" s="11" t="s">
        <v>66</v>
      </c>
      <c r="J1" s="11" t="s">
        <v>67</v>
      </c>
      <c r="K1" s="11" t="s">
        <v>68</v>
      </c>
      <c r="L1" s="11" t="s">
        <v>69</v>
      </c>
      <c r="M1" s="11" t="s">
        <v>70</v>
      </c>
      <c r="N1" s="12" t="s">
        <v>71</v>
      </c>
    </row>
    <row r="2" spans="1:14" ht="139.5" customHeight="1" x14ac:dyDescent="0.25">
      <c r="A2" s="26">
        <v>1</v>
      </c>
      <c r="B2" s="26" t="s">
        <v>36</v>
      </c>
      <c r="C2" s="14" t="s">
        <v>72</v>
      </c>
      <c r="D2" s="26" t="s">
        <v>73</v>
      </c>
      <c r="E2" s="26" t="s">
        <v>74</v>
      </c>
      <c r="F2" s="15">
        <v>45659</v>
      </c>
      <c r="G2" s="16">
        <v>2</v>
      </c>
      <c r="H2" s="25" t="s">
        <v>75</v>
      </c>
      <c r="I2" s="15" t="s">
        <v>127</v>
      </c>
      <c r="J2" s="25" t="s">
        <v>113</v>
      </c>
      <c r="K2" s="17" t="s">
        <v>77</v>
      </c>
      <c r="L2" s="18" t="s">
        <v>78</v>
      </c>
      <c r="M2" s="26" t="s">
        <v>79</v>
      </c>
      <c r="N2" s="17" t="s">
        <v>80</v>
      </c>
    </row>
    <row r="3" spans="1:14" ht="139.5" customHeight="1" x14ac:dyDescent="0.25">
      <c r="A3" s="26">
        <f t="shared" ref="A3:A65" si="0">+A2+1</f>
        <v>2</v>
      </c>
      <c r="B3" s="26" t="s">
        <v>109</v>
      </c>
      <c r="C3" s="26" t="s">
        <v>81</v>
      </c>
      <c r="D3" s="26" t="s">
        <v>82</v>
      </c>
      <c r="E3" s="26" t="s">
        <v>74</v>
      </c>
      <c r="F3" s="15">
        <v>45663</v>
      </c>
      <c r="G3" s="16">
        <v>1</v>
      </c>
      <c r="H3" s="25" t="s">
        <v>75</v>
      </c>
      <c r="I3" s="15" t="s">
        <v>128</v>
      </c>
      <c r="J3" s="25" t="s">
        <v>114</v>
      </c>
      <c r="K3" s="17" t="s">
        <v>77</v>
      </c>
      <c r="L3" s="18" t="s">
        <v>78</v>
      </c>
      <c r="M3" s="26" t="s">
        <v>79</v>
      </c>
      <c r="N3" s="17" t="s">
        <v>80</v>
      </c>
    </row>
    <row r="4" spans="1:14" ht="147" customHeight="1" x14ac:dyDescent="0.25">
      <c r="A4" s="26">
        <v>2</v>
      </c>
      <c r="B4" s="17" t="s">
        <v>19</v>
      </c>
      <c r="C4" s="26" t="s">
        <v>83</v>
      </c>
      <c r="D4" s="26" t="s">
        <v>84</v>
      </c>
      <c r="E4" s="26" t="s">
        <v>74</v>
      </c>
      <c r="F4" s="15">
        <v>45663</v>
      </c>
      <c r="G4" s="16">
        <v>2</v>
      </c>
      <c r="H4" s="25" t="s">
        <v>75</v>
      </c>
      <c r="I4" s="15" t="s">
        <v>85</v>
      </c>
      <c r="J4" s="17" t="s">
        <v>115</v>
      </c>
      <c r="K4" s="26" t="s">
        <v>86</v>
      </c>
      <c r="L4" s="18" t="s">
        <v>78</v>
      </c>
      <c r="M4" s="26" t="s">
        <v>79</v>
      </c>
      <c r="N4" s="17" t="s">
        <v>80</v>
      </c>
    </row>
    <row r="5" spans="1:14" ht="147.75" customHeight="1" x14ac:dyDescent="0.25">
      <c r="A5" s="26">
        <f t="shared" si="0"/>
        <v>3</v>
      </c>
      <c r="B5" s="26" t="s">
        <v>110</v>
      </c>
      <c r="C5" s="26" t="s">
        <v>87</v>
      </c>
      <c r="D5" s="26" t="s">
        <v>88</v>
      </c>
      <c r="E5" s="26" t="s">
        <v>74</v>
      </c>
      <c r="F5" s="15">
        <v>45663</v>
      </c>
      <c r="G5" s="16">
        <v>2</v>
      </c>
      <c r="H5" s="25" t="s">
        <v>75</v>
      </c>
      <c r="I5" s="15" t="s">
        <v>85</v>
      </c>
      <c r="J5" s="17" t="s">
        <v>115</v>
      </c>
      <c r="K5" s="26" t="s">
        <v>86</v>
      </c>
      <c r="L5" s="18" t="s">
        <v>78</v>
      </c>
      <c r="M5" s="26" t="s">
        <v>79</v>
      </c>
      <c r="N5" s="17" t="s">
        <v>80</v>
      </c>
    </row>
    <row r="6" spans="1:14" ht="150" customHeight="1" x14ac:dyDescent="0.25">
      <c r="A6" s="26">
        <v>3</v>
      </c>
      <c r="B6" s="17" t="s">
        <v>24</v>
      </c>
      <c r="C6" s="26" t="s">
        <v>87</v>
      </c>
      <c r="D6" s="26" t="s">
        <v>89</v>
      </c>
      <c r="E6" s="26" t="s">
        <v>74</v>
      </c>
      <c r="F6" s="15">
        <v>45665</v>
      </c>
      <c r="G6" s="16">
        <v>2</v>
      </c>
      <c r="H6" s="25" t="s">
        <v>75</v>
      </c>
      <c r="I6" s="15" t="s">
        <v>85</v>
      </c>
      <c r="J6" s="17" t="s">
        <v>115</v>
      </c>
      <c r="K6" s="26" t="s">
        <v>86</v>
      </c>
      <c r="L6" s="18" t="s">
        <v>78</v>
      </c>
      <c r="M6" s="26" t="s">
        <v>79</v>
      </c>
      <c r="N6" s="17" t="s">
        <v>80</v>
      </c>
    </row>
    <row r="7" spans="1:14" ht="114" customHeight="1" x14ac:dyDescent="0.25">
      <c r="A7" s="26">
        <f t="shared" si="0"/>
        <v>4</v>
      </c>
      <c r="B7" s="17" t="s">
        <v>19</v>
      </c>
      <c r="C7" s="26" t="s">
        <v>83</v>
      </c>
      <c r="D7" s="26" t="s">
        <v>84</v>
      </c>
      <c r="E7" s="26" t="s">
        <v>74</v>
      </c>
      <c r="F7" s="15">
        <v>45667</v>
      </c>
      <c r="G7" s="16">
        <v>2</v>
      </c>
      <c r="H7" s="25" t="s">
        <v>75</v>
      </c>
      <c r="I7" s="25" t="s">
        <v>129</v>
      </c>
      <c r="J7" s="17" t="s">
        <v>116</v>
      </c>
      <c r="K7" s="26" t="s">
        <v>86</v>
      </c>
      <c r="L7" s="18" t="s">
        <v>78</v>
      </c>
      <c r="M7" s="26" t="s">
        <v>79</v>
      </c>
      <c r="N7" s="17" t="s">
        <v>80</v>
      </c>
    </row>
    <row r="8" spans="1:14" ht="141" customHeight="1" x14ac:dyDescent="0.25">
      <c r="A8" s="26">
        <v>4</v>
      </c>
      <c r="B8" s="26" t="s">
        <v>109</v>
      </c>
      <c r="C8" s="26" t="s">
        <v>81</v>
      </c>
      <c r="D8" s="26" t="s">
        <v>90</v>
      </c>
      <c r="E8" s="26" t="s">
        <v>74</v>
      </c>
      <c r="F8" s="15">
        <v>45667</v>
      </c>
      <c r="G8" s="16">
        <v>2</v>
      </c>
      <c r="H8" s="25" t="s">
        <v>75</v>
      </c>
      <c r="I8" s="15" t="s">
        <v>127</v>
      </c>
      <c r="J8" s="25" t="s">
        <v>113</v>
      </c>
      <c r="K8" s="17" t="s">
        <v>77</v>
      </c>
      <c r="L8" s="18" t="s">
        <v>78</v>
      </c>
      <c r="M8" s="26" t="s">
        <v>79</v>
      </c>
      <c r="N8" s="17" t="s">
        <v>80</v>
      </c>
    </row>
    <row r="9" spans="1:14" ht="146.25" customHeight="1" x14ac:dyDescent="0.25">
      <c r="A9" s="26">
        <f t="shared" si="0"/>
        <v>5</v>
      </c>
      <c r="B9" s="26" t="s">
        <v>110</v>
      </c>
      <c r="C9" s="26" t="s">
        <v>87</v>
      </c>
      <c r="D9" s="26" t="s">
        <v>88</v>
      </c>
      <c r="E9" s="26" t="s">
        <v>74</v>
      </c>
      <c r="F9" s="15">
        <v>45672</v>
      </c>
      <c r="G9" s="16">
        <v>2</v>
      </c>
      <c r="H9" s="25" t="s">
        <v>75</v>
      </c>
      <c r="I9" s="15" t="s">
        <v>91</v>
      </c>
      <c r="J9" s="17" t="s">
        <v>117</v>
      </c>
      <c r="K9" s="26" t="s">
        <v>92</v>
      </c>
      <c r="L9" s="18" t="s">
        <v>78</v>
      </c>
      <c r="M9" s="26" t="s">
        <v>79</v>
      </c>
      <c r="N9" s="17" t="s">
        <v>80</v>
      </c>
    </row>
    <row r="10" spans="1:14" ht="143.25" customHeight="1" x14ac:dyDescent="0.25">
      <c r="A10" s="26">
        <v>5</v>
      </c>
      <c r="B10" s="17" t="s">
        <v>21</v>
      </c>
      <c r="C10" s="17" t="s">
        <v>93</v>
      </c>
      <c r="D10" s="26" t="s">
        <v>94</v>
      </c>
      <c r="E10" s="26" t="s">
        <v>74</v>
      </c>
      <c r="F10" s="15">
        <v>45672</v>
      </c>
      <c r="G10" s="16">
        <v>2</v>
      </c>
      <c r="H10" s="25" t="s">
        <v>75</v>
      </c>
      <c r="I10" s="15" t="s">
        <v>76</v>
      </c>
      <c r="J10" s="25" t="s">
        <v>113</v>
      </c>
      <c r="K10" s="17" t="s">
        <v>77</v>
      </c>
      <c r="L10" s="18" t="s">
        <v>78</v>
      </c>
      <c r="M10" s="26" t="s">
        <v>79</v>
      </c>
      <c r="N10" s="17" t="s">
        <v>80</v>
      </c>
    </row>
    <row r="11" spans="1:14" ht="214.5" customHeight="1" x14ac:dyDescent="0.25">
      <c r="A11" s="26">
        <f t="shared" si="0"/>
        <v>6</v>
      </c>
      <c r="B11" s="26" t="s">
        <v>27</v>
      </c>
      <c r="C11" s="26" t="s">
        <v>83</v>
      </c>
      <c r="D11" s="26" t="s">
        <v>95</v>
      </c>
      <c r="E11" s="26" t="s">
        <v>74</v>
      </c>
      <c r="F11" s="15">
        <v>45672</v>
      </c>
      <c r="G11" s="16">
        <v>2</v>
      </c>
      <c r="H11" s="25" t="s">
        <v>75</v>
      </c>
      <c r="I11" s="15" t="s">
        <v>127</v>
      </c>
      <c r="J11" s="25" t="s">
        <v>113</v>
      </c>
      <c r="K11" s="17" t="s">
        <v>77</v>
      </c>
      <c r="L11" s="18" t="s">
        <v>78</v>
      </c>
      <c r="M11" s="26" t="s">
        <v>79</v>
      </c>
      <c r="N11" s="17" t="s">
        <v>80</v>
      </c>
    </row>
    <row r="12" spans="1:14" ht="168.75" customHeight="1" x14ac:dyDescent="0.25">
      <c r="A12" s="26">
        <v>6</v>
      </c>
      <c r="B12" s="26" t="s">
        <v>36</v>
      </c>
      <c r="C12" s="14" t="s">
        <v>72</v>
      </c>
      <c r="D12" s="26" t="s">
        <v>73</v>
      </c>
      <c r="E12" s="26" t="s">
        <v>74</v>
      </c>
      <c r="F12" s="15">
        <v>45674</v>
      </c>
      <c r="G12" s="16">
        <v>2</v>
      </c>
      <c r="H12" s="25" t="s">
        <v>75</v>
      </c>
      <c r="I12" s="15" t="s">
        <v>91</v>
      </c>
      <c r="J12" s="17" t="s">
        <v>117</v>
      </c>
      <c r="K12" s="26" t="s">
        <v>92</v>
      </c>
      <c r="L12" s="18" t="s">
        <v>78</v>
      </c>
      <c r="M12" s="26" t="s">
        <v>79</v>
      </c>
      <c r="N12" s="17" t="s">
        <v>80</v>
      </c>
    </row>
    <row r="13" spans="1:14" ht="156.75" customHeight="1" x14ac:dyDescent="0.25">
      <c r="A13" s="26">
        <f t="shared" si="0"/>
        <v>7</v>
      </c>
      <c r="B13" s="26" t="s">
        <v>36</v>
      </c>
      <c r="C13" s="14" t="s">
        <v>72</v>
      </c>
      <c r="D13" s="26" t="s">
        <v>73</v>
      </c>
      <c r="E13" s="26" t="s">
        <v>74</v>
      </c>
      <c r="F13" s="15">
        <v>45679</v>
      </c>
      <c r="G13" s="16">
        <v>2</v>
      </c>
      <c r="H13" s="25" t="s">
        <v>75</v>
      </c>
      <c r="I13" s="15" t="s">
        <v>130</v>
      </c>
      <c r="J13" s="25" t="s">
        <v>118</v>
      </c>
      <c r="K13" s="17" t="s">
        <v>77</v>
      </c>
      <c r="L13" s="18" t="s">
        <v>78</v>
      </c>
      <c r="M13" s="26" t="s">
        <v>79</v>
      </c>
      <c r="N13" s="17" t="s">
        <v>80</v>
      </c>
    </row>
    <row r="14" spans="1:14" ht="192.75" customHeight="1" x14ac:dyDescent="0.25">
      <c r="A14" s="26">
        <v>7</v>
      </c>
      <c r="B14" s="26" t="s">
        <v>33</v>
      </c>
      <c r="C14" s="17" t="s">
        <v>72</v>
      </c>
      <c r="D14" s="26" t="s">
        <v>73</v>
      </c>
      <c r="E14" s="26" t="s">
        <v>74</v>
      </c>
      <c r="F14" s="15">
        <v>45681</v>
      </c>
      <c r="G14" s="16">
        <v>2</v>
      </c>
      <c r="H14" s="25" t="s">
        <v>75</v>
      </c>
      <c r="I14" s="15" t="s">
        <v>130</v>
      </c>
      <c r="J14" s="25" t="s">
        <v>119</v>
      </c>
      <c r="K14" s="17" t="s">
        <v>92</v>
      </c>
      <c r="L14" s="18" t="s">
        <v>78</v>
      </c>
      <c r="M14" s="26" t="s">
        <v>79</v>
      </c>
      <c r="N14" s="17" t="s">
        <v>80</v>
      </c>
    </row>
    <row r="15" spans="1:14" ht="194.25" customHeight="1" x14ac:dyDescent="0.25">
      <c r="A15" s="26">
        <f t="shared" si="0"/>
        <v>8</v>
      </c>
      <c r="B15" s="26" t="s">
        <v>36</v>
      </c>
      <c r="C15" s="14" t="s">
        <v>72</v>
      </c>
      <c r="D15" s="26" t="s">
        <v>73</v>
      </c>
      <c r="E15" s="26" t="s">
        <v>74</v>
      </c>
      <c r="F15" s="15">
        <v>45687</v>
      </c>
      <c r="G15" s="16">
        <v>2</v>
      </c>
      <c r="H15" s="25" t="s">
        <v>75</v>
      </c>
      <c r="I15" s="15" t="s">
        <v>127</v>
      </c>
      <c r="J15" s="25" t="s">
        <v>120</v>
      </c>
      <c r="K15" s="17" t="s">
        <v>86</v>
      </c>
      <c r="L15" s="18" t="s">
        <v>78</v>
      </c>
      <c r="M15" s="26" t="s">
        <v>79</v>
      </c>
      <c r="N15" s="17" t="s">
        <v>80</v>
      </c>
    </row>
    <row r="16" spans="1:14" ht="149.25" customHeight="1" x14ac:dyDescent="0.25">
      <c r="A16" s="26">
        <v>8</v>
      </c>
      <c r="B16" s="17" t="s">
        <v>21</v>
      </c>
      <c r="C16" s="17" t="s">
        <v>93</v>
      </c>
      <c r="D16" s="26" t="s">
        <v>94</v>
      </c>
      <c r="E16" s="26" t="s">
        <v>96</v>
      </c>
      <c r="F16" s="15">
        <v>45693</v>
      </c>
      <c r="G16" s="16">
        <v>2</v>
      </c>
      <c r="H16" s="25" t="s">
        <v>75</v>
      </c>
      <c r="I16" s="15" t="s">
        <v>127</v>
      </c>
      <c r="J16" s="25" t="s">
        <v>113</v>
      </c>
      <c r="K16" s="17" t="s">
        <v>77</v>
      </c>
      <c r="L16" s="18" t="s">
        <v>78</v>
      </c>
      <c r="M16" s="26" t="s">
        <v>79</v>
      </c>
      <c r="N16" s="17" t="s">
        <v>80</v>
      </c>
    </row>
    <row r="17" spans="1:14" ht="145.5" customHeight="1" x14ac:dyDescent="0.25">
      <c r="A17" s="26">
        <f t="shared" si="0"/>
        <v>9</v>
      </c>
      <c r="B17" s="17" t="s">
        <v>19</v>
      </c>
      <c r="C17" s="26" t="s">
        <v>83</v>
      </c>
      <c r="D17" s="26" t="s">
        <v>84</v>
      </c>
      <c r="E17" s="26" t="s">
        <v>96</v>
      </c>
      <c r="F17" s="15">
        <v>45694</v>
      </c>
      <c r="G17" s="16">
        <v>2</v>
      </c>
      <c r="H17" s="25" t="s">
        <v>75</v>
      </c>
      <c r="I17" s="15" t="s">
        <v>127</v>
      </c>
      <c r="J17" s="25" t="s">
        <v>113</v>
      </c>
      <c r="K17" s="17" t="s">
        <v>77</v>
      </c>
      <c r="L17" s="18" t="s">
        <v>78</v>
      </c>
      <c r="M17" s="26" t="s">
        <v>79</v>
      </c>
      <c r="N17" s="17" t="s">
        <v>80</v>
      </c>
    </row>
    <row r="18" spans="1:14" ht="153.75" customHeight="1" x14ac:dyDescent="0.25">
      <c r="A18" s="26">
        <v>9</v>
      </c>
      <c r="B18" s="17" t="s">
        <v>21</v>
      </c>
      <c r="C18" s="17" t="s">
        <v>93</v>
      </c>
      <c r="D18" s="26" t="s">
        <v>94</v>
      </c>
      <c r="E18" s="26" t="s">
        <v>96</v>
      </c>
      <c r="F18" s="15">
        <v>45695</v>
      </c>
      <c r="G18" s="16">
        <v>2</v>
      </c>
      <c r="H18" s="25" t="s">
        <v>75</v>
      </c>
      <c r="I18" s="15" t="s">
        <v>127</v>
      </c>
      <c r="J18" s="17" t="s">
        <v>121</v>
      </c>
      <c r="K18" s="26" t="s">
        <v>97</v>
      </c>
      <c r="L18" s="19" t="s">
        <v>78</v>
      </c>
      <c r="M18" s="26" t="s">
        <v>79</v>
      </c>
      <c r="N18" s="17" t="s">
        <v>80</v>
      </c>
    </row>
    <row r="19" spans="1:14" ht="153" customHeight="1" x14ac:dyDescent="0.25">
      <c r="A19" s="26">
        <f t="shared" si="0"/>
        <v>10</v>
      </c>
      <c r="B19" s="26" t="s">
        <v>109</v>
      </c>
      <c r="C19" s="26" t="s">
        <v>81</v>
      </c>
      <c r="D19" s="26" t="s">
        <v>90</v>
      </c>
      <c r="E19" s="26" t="s">
        <v>96</v>
      </c>
      <c r="F19" s="15">
        <v>45699</v>
      </c>
      <c r="G19" s="16">
        <v>2</v>
      </c>
      <c r="H19" s="25" t="s">
        <v>75</v>
      </c>
      <c r="I19" s="25" t="s">
        <v>130</v>
      </c>
      <c r="J19" s="17" t="s">
        <v>116</v>
      </c>
      <c r="K19" s="26" t="s">
        <v>86</v>
      </c>
      <c r="L19" s="18" t="s">
        <v>78</v>
      </c>
      <c r="M19" s="26" t="s">
        <v>79</v>
      </c>
      <c r="N19" s="17" t="s">
        <v>80</v>
      </c>
    </row>
    <row r="20" spans="1:14" ht="127.5" customHeight="1" x14ac:dyDescent="0.25">
      <c r="A20" s="26">
        <v>10</v>
      </c>
      <c r="B20" s="26" t="s">
        <v>110</v>
      </c>
      <c r="C20" s="26" t="s">
        <v>87</v>
      </c>
      <c r="D20" s="26" t="s">
        <v>88</v>
      </c>
      <c r="E20" s="26" t="s">
        <v>96</v>
      </c>
      <c r="F20" s="15">
        <v>45705</v>
      </c>
      <c r="G20" s="16">
        <v>2</v>
      </c>
      <c r="H20" s="25" t="s">
        <v>75</v>
      </c>
      <c r="I20" s="25" t="s">
        <v>98</v>
      </c>
      <c r="J20" s="17" t="s">
        <v>121</v>
      </c>
      <c r="K20" s="26" t="s">
        <v>97</v>
      </c>
      <c r="L20" s="19" t="s">
        <v>78</v>
      </c>
      <c r="M20" s="26" t="s">
        <v>79</v>
      </c>
      <c r="N20" s="17" t="s">
        <v>80</v>
      </c>
    </row>
    <row r="21" spans="1:14" ht="135" x14ac:dyDescent="0.25">
      <c r="A21" s="26">
        <f t="shared" si="0"/>
        <v>11</v>
      </c>
      <c r="B21" s="26" t="s">
        <v>110</v>
      </c>
      <c r="C21" s="26" t="s">
        <v>87</v>
      </c>
      <c r="D21" s="26" t="s">
        <v>88</v>
      </c>
      <c r="E21" s="26" t="s">
        <v>96</v>
      </c>
      <c r="F21" s="15">
        <v>45715</v>
      </c>
      <c r="G21" s="16">
        <v>2</v>
      </c>
      <c r="H21" s="25" t="s">
        <v>75</v>
      </c>
      <c r="I21" s="25" t="s">
        <v>130</v>
      </c>
      <c r="J21" s="17" t="s">
        <v>116</v>
      </c>
      <c r="K21" s="26" t="s">
        <v>86</v>
      </c>
      <c r="L21" s="18" t="s">
        <v>78</v>
      </c>
      <c r="M21" s="26" t="s">
        <v>79</v>
      </c>
      <c r="N21" s="17" t="s">
        <v>80</v>
      </c>
    </row>
    <row r="22" spans="1:14" ht="155.25" customHeight="1" x14ac:dyDescent="0.25">
      <c r="A22" s="26">
        <v>11</v>
      </c>
      <c r="B22" s="26" t="s">
        <v>109</v>
      </c>
      <c r="C22" s="26" t="s">
        <v>81</v>
      </c>
      <c r="D22" s="26" t="s">
        <v>90</v>
      </c>
      <c r="E22" s="26" t="s">
        <v>99</v>
      </c>
      <c r="F22" s="15">
        <v>45723</v>
      </c>
      <c r="G22" s="16">
        <v>2</v>
      </c>
      <c r="H22" s="25" t="s">
        <v>75</v>
      </c>
      <c r="I22" s="15" t="s">
        <v>127</v>
      </c>
      <c r="J22" s="25" t="s">
        <v>113</v>
      </c>
      <c r="K22" s="17" t="s">
        <v>77</v>
      </c>
      <c r="L22" s="18" t="s">
        <v>78</v>
      </c>
      <c r="M22" s="26" t="s">
        <v>79</v>
      </c>
      <c r="N22" s="17" t="s">
        <v>80</v>
      </c>
    </row>
    <row r="23" spans="1:14" ht="120" x14ac:dyDescent="0.25">
      <c r="A23" s="26">
        <f t="shared" si="0"/>
        <v>12</v>
      </c>
      <c r="B23" s="26" t="s">
        <v>111</v>
      </c>
      <c r="C23" s="26" t="s">
        <v>87</v>
      </c>
      <c r="D23" s="26" t="s">
        <v>100</v>
      </c>
      <c r="E23" s="26" t="s">
        <v>99</v>
      </c>
      <c r="F23" s="15">
        <v>45723</v>
      </c>
      <c r="G23" s="16">
        <v>1</v>
      </c>
      <c r="H23" s="25" t="s">
        <v>75</v>
      </c>
      <c r="I23" s="15" t="s">
        <v>131</v>
      </c>
      <c r="J23" s="25" t="s">
        <v>113</v>
      </c>
      <c r="K23" s="17" t="s">
        <v>77</v>
      </c>
      <c r="L23" s="18" t="s">
        <v>78</v>
      </c>
      <c r="M23" s="26" t="s">
        <v>79</v>
      </c>
      <c r="N23" s="17" t="s">
        <v>80</v>
      </c>
    </row>
    <row r="24" spans="1:14" ht="120" x14ac:dyDescent="0.25">
      <c r="A24" s="26">
        <v>12</v>
      </c>
      <c r="B24" s="26" t="s">
        <v>109</v>
      </c>
      <c r="C24" s="26" t="s">
        <v>81</v>
      </c>
      <c r="D24" s="26" t="s">
        <v>90</v>
      </c>
      <c r="E24" s="26" t="s">
        <v>99</v>
      </c>
      <c r="F24" s="15">
        <v>45724</v>
      </c>
      <c r="G24" s="16">
        <v>1</v>
      </c>
      <c r="H24" s="25" t="s">
        <v>101</v>
      </c>
      <c r="I24" s="15" t="s">
        <v>131</v>
      </c>
      <c r="J24" s="25" t="s">
        <v>113</v>
      </c>
      <c r="K24" s="17" t="s">
        <v>77</v>
      </c>
      <c r="L24" s="18" t="s">
        <v>78</v>
      </c>
      <c r="M24" s="26" t="s">
        <v>79</v>
      </c>
      <c r="N24" s="17" t="s">
        <v>80</v>
      </c>
    </row>
    <row r="25" spans="1:14" ht="120" x14ac:dyDescent="0.25">
      <c r="A25" s="26">
        <f t="shared" si="0"/>
        <v>13</v>
      </c>
      <c r="B25" s="26" t="s">
        <v>111</v>
      </c>
      <c r="C25" s="26" t="s">
        <v>87</v>
      </c>
      <c r="D25" s="26" t="s">
        <v>100</v>
      </c>
      <c r="E25" s="26" t="s">
        <v>99</v>
      </c>
      <c r="F25" s="15">
        <v>45726</v>
      </c>
      <c r="G25" s="16">
        <v>1</v>
      </c>
      <c r="H25" s="25" t="s">
        <v>75</v>
      </c>
      <c r="I25" s="15" t="s">
        <v>132</v>
      </c>
      <c r="J25" s="25" t="s">
        <v>114</v>
      </c>
      <c r="K25" s="17" t="s">
        <v>77</v>
      </c>
      <c r="L25" s="18" t="s">
        <v>78</v>
      </c>
      <c r="M25" s="26" t="s">
        <v>79</v>
      </c>
      <c r="N25" s="17" t="s">
        <v>80</v>
      </c>
    </row>
    <row r="26" spans="1:14" ht="120" x14ac:dyDescent="0.25">
      <c r="A26" s="26">
        <v>13</v>
      </c>
      <c r="B26" s="26" t="s">
        <v>111</v>
      </c>
      <c r="C26" s="26" t="s">
        <v>87</v>
      </c>
      <c r="D26" s="26" t="s">
        <v>100</v>
      </c>
      <c r="E26" s="26" t="s">
        <v>99</v>
      </c>
      <c r="F26" s="15">
        <v>45732</v>
      </c>
      <c r="G26" s="16">
        <v>1</v>
      </c>
      <c r="H26" s="25" t="s">
        <v>75</v>
      </c>
      <c r="I26" s="15" t="s">
        <v>132</v>
      </c>
      <c r="J26" s="25" t="s">
        <v>114</v>
      </c>
      <c r="K26" s="17" t="s">
        <v>77</v>
      </c>
      <c r="L26" s="18" t="s">
        <v>78</v>
      </c>
      <c r="M26" s="26" t="s">
        <v>79</v>
      </c>
      <c r="N26" s="17" t="s">
        <v>80</v>
      </c>
    </row>
    <row r="27" spans="1:14" ht="120" x14ac:dyDescent="0.25">
      <c r="A27" s="26">
        <f t="shared" si="0"/>
        <v>14</v>
      </c>
      <c r="B27" s="26" t="s">
        <v>109</v>
      </c>
      <c r="C27" s="26" t="s">
        <v>81</v>
      </c>
      <c r="D27" s="26" t="s">
        <v>90</v>
      </c>
      <c r="E27" s="26" t="s">
        <v>99</v>
      </c>
      <c r="F27" s="15">
        <v>45736</v>
      </c>
      <c r="G27" s="16">
        <v>1</v>
      </c>
      <c r="H27" s="25" t="s">
        <v>101</v>
      </c>
      <c r="I27" s="15" t="s">
        <v>132</v>
      </c>
      <c r="J27" s="25" t="s">
        <v>114</v>
      </c>
      <c r="K27" s="17" t="s">
        <v>77</v>
      </c>
      <c r="L27" s="18" t="s">
        <v>78</v>
      </c>
      <c r="M27" s="26" t="s">
        <v>79</v>
      </c>
      <c r="N27" s="17" t="s">
        <v>80</v>
      </c>
    </row>
    <row r="28" spans="1:14" ht="120" x14ac:dyDescent="0.25">
      <c r="A28" s="26">
        <v>14</v>
      </c>
      <c r="B28" s="26" t="s">
        <v>111</v>
      </c>
      <c r="C28" s="26" t="s">
        <v>87</v>
      </c>
      <c r="D28" s="26" t="s">
        <v>100</v>
      </c>
      <c r="E28" s="26" t="s">
        <v>99</v>
      </c>
      <c r="F28" s="15">
        <v>45739</v>
      </c>
      <c r="G28" s="16">
        <v>1</v>
      </c>
      <c r="H28" s="25" t="s">
        <v>75</v>
      </c>
      <c r="I28" s="15" t="s">
        <v>132</v>
      </c>
      <c r="J28" s="25" t="s">
        <v>114</v>
      </c>
      <c r="K28" s="17" t="s">
        <v>77</v>
      </c>
      <c r="L28" s="18" t="s">
        <v>78</v>
      </c>
      <c r="M28" s="26" t="s">
        <v>79</v>
      </c>
      <c r="N28" s="17" t="s">
        <v>80</v>
      </c>
    </row>
    <row r="29" spans="1:14" ht="120" x14ac:dyDescent="0.25">
      <c r="A29" s="26">
        <f t="shared" si="0"/>
        <v>15</v>
      </c>
      <c r="B29" s="26" t="s">
        <v>109</v>
      </c>
      <c r="C29" s="26" t="s">
        <v>81</v>
      </c>
      <c r="D29" s="26" t="s">
        <v>90</v>
      </c>
      <c r="E29" s="26" t="s">
        <v>99</v>
      </c>
      <c r="F29" s="15">
        <v>45743</v>
      </c>
      <c r="G29" s="16">
        <v>1</v>
      </c>
      <c r="H29" s="25" t="s">
        <v>101</v>
      </c>
      <c r="I29" s="15" t="s">
        <v>132</v>
      </c>
      <c r="J29" s="25" t="s">
        <v>114</v>
      </c>
      <c r="K29" s="17" t="s">
        <v>77</v>
      </c>
      <c r="L29" s="18" t="s">
        <v>78</v>
      </c>
      <c r="M29" s="26" t="s">
        <v>79</v>
      </c>
      <c r="N29" s="17" t="s">
        <v>80</v>
      </c>
    </row>
    <row r="30" spans="1:14" ht="120" x14ac:dyDescent="0.25">
      <c r="A30" s="26">
        <v>15</v>
      </c>
      <c r="B30" s="26" t="s">
        <v>111</v>
      </c>
      <c r="C30" s="26" t="s">
        <v>87</v>
      </c>
      <c r="D30" s="26" t="s">
        <v>100</v>
      </c>
      <c r="E30" s="26" t="s">
        <v>99</v>
      </c>
      <c r="F30" s="15">
        <v>45743</v>
      </c>
      <c r="G30" s="16">
        <v>1</v>
      </c>
      <c r="H30" s="25" t="s">
        <v>75</v>
      </c>
      <c r="I30" s="15" t="s">
        <v>132</v>
      </c>
      <c r="J30" s="25" t="s">
        <v>114</v>
      </c>
      <c r="K30" s="17" t="s">
        <v>77</v>
      </c>
      <c r="L30" s="18" t="s">
        <v>78</v>
      </c>
      <c r="M30" s="26" t="s">
        <v>79</v>
      </c>
      <c r="N30" s="17" t="s">
        <v>80</v>
      </c>
    </row>
    <row r="31" spans="1:14" ht="105" x14ac:dyDescent="0.25">
      <c r="A31" s="26">
        <f t="shared" si="0"/>
        <v>16</v>
      </c>
      <c r="B31" s="26" t="s">
        <v>111</v>
      </c>
      <c r="C31" s="26" t="s">
        <v>87</v>
      </c>
      <c r="D31" s="26" t="s">
        <v>100</v>
      </c>
      <c r="E31" s="26" t="s">
        <v>99</v>
      </c>
      <c r="F31" s="15">
        <v>45747</v>
      </c>
      <c r="G31" s="16">
        <v>2</v>
      </c>
      <c r="H31" s="25" t="s">
        <v>75</v>
      </c>
      <c r="I31" s="15" t="s">
        <v>132</v>
      </c>
      <c r="J31" s="25" t="s">
        <v>122</v>
      </c>
      <c r="K31" s="17" t="s">
        <v>97</v>
      </c>
      <c r="L31" s="18" t="s">
        <v>78</v>
      </c>
      <c r="M31" s="26" t="s">
        <v>79</v>
      </c>
      <c r="N31" s="17" t="s">
        <v>80</v>
      </c>
    </row>
    <row r="32" spans="1:14" ht="120" x14ac:dyDescent="0.25">
      <c r="A32" s="26">
        <v>16</v>
      </c>
      <c r="B32" s="26" t="s">
        <v>111</v>
      </c>
      <c r="C32" s="26" t="s">
        <v>87</v>
      </c>
      <c r="D32" s="26" t="s">
        <v>100</v>
      </c>
      <c r="E32" s="26" t="s">
        <v>102</v>
      </c>
      <c r="F32" s="15">
        <v>45749</v>
      </c>
      <c r="G32" s="16">
        <v>1</v>
      </c>
      <c r="H32" s="25" t="s">
        <v>75</v>
      </c>
      <c r="I32" s="15" t="s">
        <v>132</v>
      </c>
      <c r="J32" s="25" t="s">
        <v>114</v>
      </c>
      <c r="K32" s="17" t="s">
        <v>77</v>
      </c>
      <c r="L32" s="18" t="s">
        <v>78</v>
      </c>
      <c r="M32" s="26" t="s">
        <v>79</v>
      </c>
      <c r="N32" s="17" t="s">
        <v>80</v>
      </c>
    </row>
    <row r="33" spans="1:14" ht="105" x14ac:dyDescent="0.25">
      <c r="A33" s="26">
        <f t="shared" si="0"/>
        <v>17</v>
      </c>
      <c r="B33" s="26" t="s">
        <v>111</v>
      </c>
      <c r="C33" s="26" t="s">
        <v>87</v>
      </c>
      <c r="D33" s="26" t="s">
        <v>100</v>
      </c>
      <c r="E33" s="26" t="s">
        <v>102</v>
      </c>
      <c r="F33" s="15">
        <v>45751</v>
      </c>
      <c r="G33" s="16">
        <v>1</v>
      </c>
      <c r="H33" s="25" t="s">
        <v>75</v>
      </c>
      <c r="I33" s="15" t="s">
        <v>132</v>
      </c>
      <c r="J33" s="25" t="s">
        <v>123</v>
      </c>
      <c r="K33" s="17" t="s">
        <v>97</v>
      </c>
      <c r="L33" s="18" t="s">
        <v>78</v>
      </c>
      <c r="M33" s="26" t="s">
        <v>79</v>
      </c>
      <c r="N33" s="17" t="s">
        <v>80</v>
      </c>
    </row>
    <row r="34" spans="1:14" ht="120" x14ac:dyDescent="0.25">
      <c r="A34" s="26">
        <v>17</v>
      </c>
      <c r="B34" s="26" t="s">
        <v>27</v>
      </c>
      <c r="C34" s="26" t="s">
        <v>83</v>
      </c>
      <c r="D34" s="26" t="s">
        <v>95</v>
      </c>
      <c r="E34" s="26" t="s">
        <v>102</v>
      </c>
      <c r="F34" s="15">
        <v>45751</v>
      </c>
      <c r="G34" s="16">
        <v>1</v>
      </c>
      <c r="H34" s="25" t="s">
        <v>75</v>
      </c>
      <c r="I34" s="15" t="s">
        <v>127</v>
      </c>
      <c r="J34" s="25" t="s">
        <v>113</v>
      </c>
      <c r="K34" s="17" t="s">
        <v>97</v>
      </c>
      <c r="L34" s="18" t="s">
        <v>78</v>
      </c>
      <c r="M34" s="26" t="s">
        <v>79</v>
      </c>
      <c r="N34" s="17" t="s">
        <v>80</v>
      </c>
    </row>
    <row r="35" spans="1:14" ht="120" x14ac:dyDescent="0.25">
      <c r="A35" s="26">
        <f t="shared" si="0"/>
        <v>18</v>
      </c>
      <c r="B35" s="26" t="s">
        <v>109</v>
      </c>
      <c r="C35" s="26" t="s">
        <v>81</v>
      </c>
      <c r="D35" s="26" t="s">
        <v>90</v>
      </c>
      <c r="E35" s="26" t="s">
        <v>102</v>
      </c>
      <c r="F35" s="15">
        <v>45753</v>
      </c>
      <c r="G35" s="16">
        <v>1</v>
      </c>
      <c r="H35" s="25" t="s">
        <v>75</v>
      </c>
      <c r="I35" s="15" t="s">
        <v>132</v>
      </c>
      <c r="J35" s="25" t="s">
        <v>114</v>
      </c>
      <c r="K35" s="17" t="s">
        <v>77</v>
      </c>
      <c r="L35" s="18" t="s">
        <v>78</v>
      </c>
      <c r="M35" s="26" t="s">
        <v>79</v>
      </c>
      <c r="N35" s="17" t="s">
        <v>80</v>
      </c>
    </row>
    <row r="36" spans="1:14" ht="120" x14ac:dyDescent="0.25">
      <c r="A36" s="26">
        <v>18</v>
      </c>
      <c r="B36" s="17" t="s">
        <v>19</v>
      </c>
      <c r="C36" s="26" t="s">
        <v>83</v>
      </c>
      <c r="D36" s="26" t="s">
        <v>84</v>
      </c>
      <c r="E36" s="26" t="s">
        <v>102</v>
      </c>
      <c r="F36" s="15">
        <v>45753</v>
      </c>
      <c r="G36" s="16">
        <v>2</v>
      </c>
      <c r="H36" s="25" t="s">
        <v>75</v>
      </c>
      <c r="I36" s="15" t="s">
        <v>127</v>
      </c>
      <c r="J36" s="25" t="s">
        <v>113</v>
      </c>
      <c r="K36" s="17" t="s">
        <v>77</v>
      </c>
      <c r="L36" s="18" t="s">
        <v>78</v>
      </c>
      <c r="M36" s="26" t="s">
        <v>79</v>
      </c>
      <c r="N36" s="17" t="s">
        <v>80</v>
      </c>
    </row>
    <row r="37" spans="1:14" ht="120" x14ac:dyDescent="0.25">
      <c r="A37" s="26">
        <f t="shared" si="0"/>
        <v>19</v>
      </c>
      <c r="B37" s="26" t="s">
        <v>109</v>
      </c>
      <c r="C37" s="26" t="s">
        <v>81</v>
      </c>
      <c r="D37" s="26" t="s">
        <v>90</v>
      </c>
      <c r="E37" s="26" t="s">
        <v>102</v>
      </c>
      <c r="F37" s="15">
        <v>45754</v>
      </c>
      <c r="G37" s="16">
        <v>2</v>
      </c>
      <c r="H37" s="25" t="s">
        <v>75</v>
      </c>
      <c r="I37" s="15" t="s">
        <v>127</v>
      </c>
      <c r="J37" s="25" t="s">
        <v>113</v>
      </c>
      <c r="K37" s="17" t="s">
        <v>77</v>
      </c>
      <c r="L37" s="18" t="s">
        <v>78</v>
      </c>
      <c r="M37" s="26" t="s">
        <v>79</v>
      </c>
      <c r="N37" s="17" t="s">
        <v>80</v>
      </c>
    </row>
    <row r="38" spans="1:14" ht="120" x14ac:dyDescent="0.25">
      <c r="A38" s="26">
        <v>19</v>
      </c>
      <c r="B38" s="26" t="s">
        <v>111</v>
      </c>
      <c r="C38" s="26" t="s">
        <v>87</v>
      </c>
      <c r="D38" s="26" t="s">
        <v>100</v>
      </c>
      <c r="E38" s="26" t="s">
        <v>102</v>
      </c>
      <c r="F38" s="15">
        <v>45756</v>
      </c>
      <c r="G38" s="16">
        <v>1</v>
      </c>
      <c r="H38" s="25" t="s">
        <v>75</v>
      </c>
      <c r="I38" s="15" t="s">
        <v>132</v>
      </c>
      <c r="J38" s="25" t="s">
        <v>114</v>
      </c>
      <c r="K38" s="17" t="s">
        <v>77</v>
      </c>
      <c r="L38" s="18" t="s">
        <v>78</v>
      </c>
      <c r="M38" s="26" t="s">
        <v>79</v>
      </c>
      <c r="N38" s="17" t="s">
        <v>80</v>
      </c>
    </row>
    <row r="39" spans="1:14" ht="75" x14ac:dyDescent="0.25">
      <c r="A39" s="26">
        <f t="shared" si="0"/>
        <v>20</v>
      </c>
      <c r="B39" s="17" t="s">
        <v>19</v>
      </c>
      <c r="C39" s="26" t="s">
        <v>83</v>
      </c>
      <c r="D39" s="26" t="s">
        <v>84</v>
      </c>
      <c r="E39" s="26" t="s">
        <v>96</v>
      </c>
      <c r="F39" s="15">
        <v>45761</v>
      </c>
      <c r="G39" s="16">
        <v>1</v>
      </c>
      <c r="H39" s="25" t="s">
        <v>75</v>
      </c>
      <c r="I39" s="15" t="s">
        <v>133</v>
      </c>
      <c r="J39" s="25" t="s">
        <v>124</v>
      </c>
      <c r="K39" s="17" t="s">
        <v>77</v>
      </c>
      <c r="L39" s="18" t="s">
        <v>78</v>
      </c>
      <c r="M39" s="26" t="s">
        <v>79</v>
      </c>
      <c r="N39" s="17" t="s">
        <v>80</v>
      </c>
    </row>
    <row r="40" spans="1:14" ht="120" x14ac:dyDescent="0.25">
      <c r="A40" s="26">
        <v>20</v>
      </c>
      <c r="B40" s="26" t="s">
        <v>27</v>
      </c>
      <c r="C40" s="26" t="s">
        <v>83</v>
      </c>
      <c r="D40" s="26" t="s">
        <v>95</v>
      </c>
      <c r="E40" s="26" t="s">
        <v>102</v>
      </c>
      <c r="F40" s="15">
        <v>45761</v>
      </c>
      <c r="G40" s="16">
        <v>1</v>
      </c>
      <c r="H40" s="25" t="s">
        <v>75</v>
      </c>
      <c r="I40" s="15" t="s">
        <v>127</v>
      </c>
      <c r="J40" s="25" t="s">
        <v>113</v>
      </c>
      <c r="K40" s="17" t="s">
        <v>77</v>
      </c>
      <c r="L40" s="18" t="s">
        <v>78</v>
      </c>
      <c r="M40" s="26" t="s">
        <v>79</v>
      </c>
      <c r="N40" s="17" t="s">
        <v>80</v>
      </c>
    </row>
    <row r="41" spans="1:14" ht="60" x14ac:dyDescent="0.25">
      <c r="A41" s="26">
        <f t="shared" si="0"/>
        <v>21</v>
      </c>
      <c r="B41" s="26" t="s">
        <v>27</v>
      </c>
      <c r="C41" s="26" t="s">
        <v>83</v>
      </c>
      <c r="D41" s="26" t="s">
        <v>95</v>
      </c>
      <c r="E41" s="26" t="s">
        <v>102</v>
      </c>
      <c r="F41" s="15">
        <v>45762</v>
      </c>
      <c r="G41" s="16">
        <v>1</v>
      </c>
      <c r="H41" s="25" t="s">
        <v>75</v>
      </c>
      <c r="I41" s="15" t="s">
        <v>127</v>
      </c>
      <c r="J41" s="25" t="s">
        <v>123</v>
      </c>
      <c r="K41" s="17" t="s">
        <v>97</v>
      </c>
      <c r="L41" s="18" t="s">
        <v>78</v>
      </c>
      <c r="M41" s="26" t="s">
        <v>79</v>
      </c>
      <c r="N41" s="17" t="s">
        <v>80</v>
      </c>
    </row>
    <row r="42" spans="1:14" ht="60" x14ac:dyDescent="0.25">
      <c r="A42" s="26">
        <v>21</v>
      </c>
      <c r="B42" s="26" t="s">
        <v>24</v>
      </c>
      <c r="C42" s="26" t="s">
        <v>87</v>
      </c>
      <c r="D42" s="26" t="s">
        <v>89</v>
      </c>
      <c r="E42" s="26" t="s">
        <v>102</v>
      </c>
      <c r="F42" s="15">
        <v>45762</v>
      </c>
      <c r="G42" s="16">
        <v>1</v>
      </c>
      <c r="H42" s="25" t="s">
        <v>75</v>
      </c>
      <c r="I42" s="15" t="s">
        <v>127</v>
      </c>
      <c r="J42" s="25" t="s">
        <v>123</v>
      </c>
      <c r="K42" s="17" t="s">
        <v>97</v>
      </c>
      <c r="L42" s="18" t="s">
        <v>78</v>
      </c>
      <c r="M42" s="26" t="s">
        <v>79</v>
      </c>
      <c r="N42" s="17" t="s">
        <v>80</v>
      </c>
    </row>
    <row r="43" spans="1:14" ht="60" x14ac:dyDescent="0.25">
      <c r="A43" s="26">
        <f t="shared" si="0"/>
        <v>22</v>
      </c>
      <c r="B43" s="26" t="s">
        <v>24</v>
      </c>
      <c r="C43" s="26" t="s">
        <v>87</v>
      </c>
      <c r="D43" s="26" t="s">
        <v>89</v>
      </c>
      <c r="E43" s="26" t="s">
        <v>102</v>
      </c>
      <c r="F43" s="15">
        <v>45763</v>
      </c>
      <c r="G43" s="16">
        <v>1</v>
      </c>
      <c r="H43" s="25" t="s">
        <v>75</v>
      </c>
      <c r="I43" s="15" t="s">
        <v>127</v>
      </c>
      <c r="J43" s="25" t="s">
        <v>123</v>
      </c>
      <c r="K43" s="17" t="s">
        <v>97</v>
      </c>
      <c r="L43" s="18" t="s">
        <v>78</v>
      </c>
      <c r="M43" s="26" t="s">
        <v>79</v>
      </c>
      <c r="N43" s="17" t="s">
        <v>80</v>
      </c>
    </row>
    <row r="44" spans="1:14" ht="105" x14ac:dyDescent="0.25">
      <c r="A44" s="26">
        <v>22</v>
      </c>
      <c r="B44" s="26" t="s">
        <v>111</v>
      </c>
      <c r="C44" s="26" t="s">
        <v>87</v>
      </c>
      <c r="D44" s="26" t="s">
        <v>100</v>
      </c>
      <c r="E44" s="26" t="s">
        <v>102</v>
      </c>
      <c r="F44" s="15">
        <v>45766</v>
      </c>
      <c r="G44" s="16">
        <v>1</v>
      </c>
      <c r="H44" s="25" t="s">
        <v>75</v>
      </c>
      <c r="I44" s="15" t="s">
        <v>103</v>
      </c>
      <c r="J44" s="25" t="s">
        <v>125</v>
      </c>
      <c r="K44" s="17" t="s">
        <v>97</v>
      </c>
      <c r="L44" s="18" t="s">
        <v>78</v>
      </c>
      <c r="M44" s="26" t="s">
        <v>79</v>
      </c>
      <c r="N44" s="17" t="s">
        <v>80</v>
      </c>
    </row>
    <row r="45" spans="1:14" ht="120" x14ac:dyDescent="0.25">
      <c r="A45" s="26">
        <f t="shared" si="0"/>
        <v>23</v>
      </c>
      <c r="B45" s="26" t="s">
        <v>27</v>
      </c>
      <c r="C45" s="26" t="s">
        <v>83</v>
      </c>
      <c r="D45" s="26" t="s">
        <v>95</v>
      </c>
      <c r="E45" s="26" t="s">
        <v>102</v>
      </c>
      <c r="F45" s="15">
        <v>45767</v>
      </c>
      <c r="G45" s="16">
        <v>1</v>
      </c>
      <c r="H45" s="25" t="s">
        <v>75</v>
      </c>
      <c r="I45" s="15" t="s">
        <v>127</v>
      </c>
      <c r="J45" s="25" t="s">
        <v>113</v>
      </c>
      <c r="K45" s="17" t="s">
        <v>77</v>
      </c>
      <c r="L45" s="18" t="s">
        <v>78</v>
      </c>
      <c r="M45" s="26" t="s">
        <v>79</v>
      </c>
      <c r="N45" s="17" t="s">
        <v>80</v>
      </c>
    </row>
    <row r="46" spans="1:14" ht="60" x14ac:dyDescent="0.25">
      <c r="A46" s="26">
        <v>23</v>
      </c>
      <c r="B46" s="26" t="s">
        <v>109</v>
      </c>
      <c r="C46" s="26" t="s">
        <v>81</v>
      </c>
      <c r="D46" s="26" t="s">
        <v>90</v>
      </c>
      <c r="E46" s="26" t="s">
        <v>102</v>
      </c>
      <c r="F46" s="15">
        <v>45770</v>
      </c>
      <c r="G46" s="16">
        <v>1</v>
      </c>
      <c r="H46" s="25" t="s">
        <v>75</v>
      </c>
      <c r="I46" s="15" t="s">
        <v>104</v>
      </c>
      <c r="J46" s="25" t="s">
        <v>105</v>
      </c>
      <c r="K46" s="17" t="s">
        <v>97</v>
      </c>
      <c r="L46" s="18" t="s">
        <v>78</v>
      </c>
      <c r="M46" s="26" t="s">
        <v>79</v>
      </c>
      <c r="N46" s="17" t="s">
        <v>80</v>
      </c>
    </row>
    <row r="47" spans="1:14" ht="120" x14ac:dyDescent="0.25">
      <c r="A47" s="26">
        <f t="shared" si="0"/>
        <v>24</v>
      </c>
      <c r="B47" s="17" t="s">
        <v>24</v>
      </c>
      <c r="C47" s="26" t="s">
        <v>87</v>
      </c>
      <c r="D47" s="26" t="s">
        <v>89</v>
      </c>
      <c r="E47" s="26" t="s">
        <v>102</v>
      </c>
      <c r="F47" s="15">
        <v>45773</v>
      </c>
      <c r="G47" s="16">
        <v>1</v>
      </c>
      <c r="H47" s="25" t="s">
        <v>75</v>
      </c>
      <c r="I47" s="15" t="s">
        <v>131</v>
      </c>
      <c r="J47" s="25" t="s">
        <v>113</v>
      </c>
      <c r="K47" s="17" t="s">
        <v>77</v>
      </c>
      <c r="L47" s="18" t="s">
        <v>78</v>
      </c>
      <c r="M47" s="26" t="s">
        <v>79</v>
      </c>
      <c r="N47" s="17" t="s">
        <v>80</v>
      </c>
    </row>
    <row r="48" spans="1:14" ht="120" x14ac:dyDescent="0.25">
      <c r="A48" s="26">
        <v>24</v>
      </c>
      <c r="B48" s="26" t="s">
        <v>111</v>
      </c>
      <c r="C48" s="26" t="s">
        <v>87</v>
      </c>
      <c r="D48" s="26" t="s">
        <v>100</v>
      </c>
      <c r="E48" s="26" t="s">
        <v>102</v>
      </c>
      <c r="F48" s="15">
        <v>45775</v>
      </c>
      <c r="G48" s="16">
        <v>1</v>
      </c>
      <c r="H48" s="25" t="s">
        <v>75</v>
      </c>
      <c r="I48" s="15" t="s">
        <v>131</v>
      </c>
      <c r="J48" s="25" t="s">
        <v>113</v>
      </c>
      <c r="K48" s="17" t="s">
        <v>77</v>
      </c>
      <c r="L48" s="18" t="s">
        <v>78</v>
      </c>
      <c r="M48" s="26" t="s">
        <v>79</v>
      </c>
      <c r="N48" s="17" t="s">
        <v>80</v>
      </c>
    </row>
    <row r="49" spans="1:14" ht="45" x14ac:dyDescent="0.25">
      <c r="A49" s="26">
        <f t="shared" si="0"/>
        <v>25</v>
      </c>
      <c r="B49" s="17" t="s">
        <v>24</v>
      </c>
      <c r="C49" s="26" t="s">
        <v>87</v>
      </c>
      <c r="D49" s="26" t="s">
        <v>89</v>
      </c>
      <c r="E49" s="26" t="s">
        <v>102</v>
      </c>
      <c r="F49" s="15">
        <v>45776</v>
      </c>
      <c r="G49" s="16">
        <v>1</v>
      </c>
      <c r="H49" s="25" t="s">
        <v>75</v>
      </c>
      <c r="I49" s="15" t="s">
        <v>85</v>
      </c>
      <c r="J49" s="17" t="s">
        <v>106</v>
      </c>
      <c r="K49" s="17" t="s">
        <v>97</v>
      </c>
      <c r="L49" s="18" t="s">
        <v>78</v>
      </c>
      <c r="M49" s="26" t="s">
        <v>79</v>
      </c>
      <c r="N49" s="17" t="s">
        <v>80</v>
      </c>
    </row>
    <row r="50" spans="1:14" ht="60" x14ac:dyDescent="0.25">
      <c r="A50" s="26">
        <v>25</v>
      </c>
      <c r="B50" s="26" t="s">
        <v>27</v>
      </c>
      <c r="C50" s="26" t="s">
        <v>83</v>
      </c>
      <c r="D50" s="26" t="s">
        <v>95</v>
      </c>
      <c r="E50" s="26" t="s">
        <v>102</v>
      </c>
      <c r="F50" s="15">
        <v>45776</v>
      </c>
      <c r="G50" s="16">
        <v>1</v>
      </c>
      <c r="H50" s="25" t="s">
        <v>75</v>
      </c>
      <c r="I50" s="15" t="s">
        <v>85</v>
      </c>
      <c r="J50" s="17" t="s">
        <v>106</v>
      </c>
      <c r="K50" s="17" t="s">
        <v>97</v>
      </c>
      <c r="L50" s="18" t="s">
        <v>78</v>
      </c>
      <c r="M50" s="26" t="s">
        <v>79</v>
      </c>
      <c r="N50" s="17" t="s">
        <v>80</v>
      </c>
    </row>
    <row r="51" spans="1:14" ht="105" x14ac:dyDescent="0.25">
      <c r="A51" s="26">
        <f t="shared" si="0"/>
        <v>26</v>
      </c>
      <c r="B51" s="26" t="s">
        <v>36</v>
      </c>
      <c r="C51" s="14" t="s">
        <v>72</v>
      </c>
      <c r="D51" s="26" t="s">
        <v>73</v>
      </c>
      <c r="E51" s="26" t="s">
        <v>102</v>
      </c>
      <c r="F51" s="15">
        <v>45777</v>
      </c>
      <c r="G51" s="16">
        <v>2</v>
      </c>
      <c r="H51" s="25" t="s">
        <v>75</v>
      </c>
      <c r="I51" s="15" t="s">
        <v>133</v>
      </c>
      <c r="J51" s="25" t="s">
        <v>126</v>
      </c>
      <c r="K51" s="17" t="s">
        <v>97</v>
      </c>
      <c r="L51" s="18" t="s">
        <v>78</v>
      </c>
      <c r="M51" s="26" t="s">
        <v>79</v>
      </c>
      <c r="N51" s="17" t="s">
        <v>80</v>
      </c>
    </row>
    <row r="52" spans="1:14" ht="105" x14ac:dyDescent="0.25">
      <c r="A52" s="26">
        <v>26</v>
      </c>
      <c r="B52" s="26" t="s">
        <v>36</v>
      </c>
      <c r="C52" s="14" t="s">
        <v>72</v>
      </c>
      <c r="D52" s="26" t="s">
        <v>73</v>
      </c>
      <c r="E52" s="26" t="s">
        <v>102</v>
      </c>
      <c r="F52" s="15">
        <v>45777</v>
      </c>
      <c r="G52" s="16">
        <v>2</v>
      </c>
      <c r="H52" s="25" t="s">
        <v>75</v>
      </c>
      <c r="I52" s="15" t="s">
        <v>133</v>
      </c>
      <c r="J52" s="25" t="s">
        <v>126</v>
      </c>
      <c r="K52" s="17" t="s">
        <v>97</v>
      </c>
      <c r="L52" s="18" t="s">
        <v>78</v>
      </c>
      <c r="M52" s="26" t="s">
        <v>79</v>
      </c>
      <c r="N52" s="17" t="s">
        <v>80</v>
      </c>
    </row>
    <row r="53" spans="1:14" ht="120" x14ac:dyDescent="0.25">
      <c r="A53" s="26">
        <f t="shared" si="0"/>
        <v>27</v>
      </c>
      <c r="B53" s="23" t="s">
        <v>19</v>
      </c>
      <c r="C53" s="26" t="s">
        <v>83</v>
      </c>
      <c r="D53" s="26" t="s">
        <v>84</v>
      </c>
      <c r="E53" s="26" t="s">
        <v>134</v>
      </c>
      <c r="F53" s="38">
        <v>45783</v>
      </c>
      <c r="G53" s="17"/>
      <c r="H53" s="25" t="s">
        <v>75</v>
      </c>
      <c r="I53" s="15" t="s">
        <v>135</v>
      </c>
      <c r="J53" s="25" t="s">
        <v>114</v>
      </c>
      <c r="K53" s="27" t="s">
        <v>77</v>
      </c>
      <c r="L53" s="18" t="s">
        <v>78</v>
      </c>
      <c r="M53" s="26" t="s">
        <v>79</v>
      </c>
      <c r="N53" s="17" t="s">
        <v>80</v>
      </c>
    </row>
    <row r="54" spans="1:14" ht="120" x14ac:dyDescent="0.25">
      <c r="A54" s="26">
        <v>27</v>
      </c>
      <c r="B54" s="23" t="s">
        <v>109</v>
      </c>
      <c r="C54" s="26" t="s">
        <v>81</v>
      </c>
      <c r="D54" s="26" t="s">
        <v>90</v>
      </c>
      <c r="E54" s="26" t="s">
        <v>134</v>
      </c>
      <c r="F54" s="38">
        <v>45785</v>
      </c>
      <c r="G54" s="17"/>
      <c r="H54" s="25" t="s">
        <v>75</v>
      </c>
      <c r="I54" s="15" t="s">
        <v>136</v>
      </c>
      <c r="J54" s="25" t="s">
        <v>113</v>
      </c>
      <c r="K54" s="27" t="s">
        <v>77</v>
      </c>
      <c r="L54" s="18" t="s">
        <v>78</v>
      </c>
      <c r="M54" s="26" t="s">
        <v>79</v>
      </c>
      <c r="N54" s="17" t="s">
        <v>80</v>
      </c>
    </row>
    <row r="55" spans="1:14" ht="120" x14ac:dyDescent="0.25">
      <c r="A55" s="26">
        <f t="shared" si="0"/>
        <v>28</v>
      </c>
      <c r="B55" s="27" t="s">
        <v>24</v>
      </c>
      <c r="C55" s="26" t="s">
        <v>87</v>
      </c>
      <c r="D55" s="26" t="s">
        <v>89</v>
      </c>
      <c r="E55" s="26" t="s">
        <v>134</v>
      </c>
      <c r="F55" s="38">
        <v>45787</v>
      </c>
      <c r="G55" s="17"/>
      <c r="H55" s="25" t="s">
        <v>75</v>
      </c>
      <c r="I55" s="15" t="s">
        <v>76</v>
      </c>
      <c r="J55" s="25" t="s">
        <v>113</v>
      </c>
      <c r="K55" s="27" t="s">
        <v>77</v>
      </c>
      <c r="L55" s="18" t="s">
        <v>78</v>
      </c>
      <c r="M55" s="26" t="s">
        <v>79</v>
      </c>
      <c r="N55" s="17" t="s">
        <v>80</v>
      </c>
    </row>
    <row r="56" spans="1:14" ht="105" x14ac:dyDescent="0.25">
      <c r="A56" s="26">
        <v>28</v>
      </c>
      <c r="B56" s="27" t="s">
        <v>19</v>
      </c>
      <c r="C56" s="26" t="s">
        <v>83</v>
      </c>
      <c r="D56" s="26" t="s">
        <v>84</v>
      </c>
      <c r="E56" s="26" t="s">
        <v>134</v>
      </c>
      <c r="F56" s="38">
        <v>45790</v>
      </c>
      <c r="G56" s="17"/>
      <c r="H56" s="25" t="s">
        <v>75</v>
      </c>
      <c r="I56" s="15" t="s">
        <v>136</v>
      </c>
      <c r="J56" s="25" t="s">
        <v>137</v>
      </c>
      <c r="K56" s="27" t="s">
        <v>97</v>
      </c>
      <c r="L56" s="18" t="s">
        <v>78</v>
      </c>
      <c r="M56" s="26" t="s">
        <v>79</v>
      </c>
      <c r="N56" s="17" t="s">
        <v>80</v>
      </c>
    </row>
    <row r="57" spans="1:14" ht="120" x14ac:dyDescent="0.25">
      <c r="A57" s="26">
        <f t="shared" si="0"/>
        <v>29</v>
      </c>
      <c r="B57" s="26" t="s">
        <v>111</v>
      </c>
      <c r="C57" s="26" t="s">
        <v>87</v>
      </c>
      <c r="D57" s="26" t="s">
        <v>100</v>
      </c>
      <c r="E57" s="26" t="s">
        <v>134</v>
      </c>
      <c r="F57" s="38">
        <v>45794</v>
      </c>
      <c r="G57" s="17"/>
      <c r="H57" s="25" t="s">
        <v>75</v>
      </c>
      <c r="I57" s="15" t="s">
        <v>138</v>
      </c>
      <c r="J57" s="25" t="s">
        <v>139</v>
      </c>
      <c r="K57" s="27" t="s">
        <v>97</v>
      </c>
      <c r="L57" s="18" t="s">
        <v>78</v>
      </c>
      <c r="M57" s="26" t="s">
        <v>79</v>
      </c>
      <c r="N57" s="17" t="s">
        <v>80</v>
      </c>
    </row>
    <row r="58" spans="1:14" ht="120" x14ac:dyDescent="0.25">
      <c r="A58" s="26">
        <v>29</v>
      </c>
      <c r="B58" s="27" t="s">
        <v>19</v>
      </c>
      <c r="C58" s="26" t="s">
        <v>83</v>
      </c>
      <c r="D58" s="26" t="s">
        <v>84</v>
      </c>
      <c r="E58" s="26" t="s">
        <v>134</v>
      </c>
      <c r="F58" s="38">
        <v>45798</v>
      </c>
      <c r="G58" s="17"/>
      <c r="H58" s="25" t="s">
        <v>75</v>
      </c>
      <c r="I58" s="15" t="s">
        <v>136</v>
      </c>
      <c r="J58" s="25" t="s">
        <v>113</v>
      </c>
      <c r="K58" s="27" t="s">
        <v>77</v>
      </c>
      <c r="L58" s="18" t="s">
        <v>78</v>
      </c>
      <c r="M58" s="26" t="s">
        <v>79</v>
      </c>
      <c r="N58" s="17" t="s">
        <v>80</v>
      </c>
    </row>
    <row r="59" spans="1:14" ht="135" x14ac:dyDescent="0.25">
      <c r="A59" s="26">
        <f t="shared" si="0"/>
        <v>30</v>
      </c>
      <c r="B59" s="23" t="s">
        <v>110</v>
      </c>
      <c r="C59" s="26" t="s">
        <v>87</v>
      </c>
      <c r="D59" s="26" t="s">
        <v>88</v>
      </c>
      <c r="E59" s="26" t="s">
        <v>134</v>
      </c>
      <c r="F59" s="38">
        <v>45800</v>
      </c>
      <c r="G59" s="17"/>
      <c r="H59" s="25" t="s">
        <v>75</v>
      </c>
      <c r="I59" s="15" t="s">
        <v>136</v>
      </c>
      <c r="J59" s="25" t="s">
        <v>140</v>
      </c>
      <c r="K59" s="27" t="s">
        <v>77</v>
      </c>
      <c r="L59" s="18" t="s">
        <v>78</v>
      </c>
      <c r="M59" s="26" t="s">
        <v>79</v>
      </c>
      <c r="N59" s="17" t="s">
        <v>80</v>
      </c>
    </row>
    <row r="60" spans="1:14" ht="135" x14ac:dyDescent="0.25">
      <c r="A60" s="26">
        <v>30</v>
      </c>
      <c r="B60" s="26" t="s">
        <v>36</v>
      </c>
      <c r="C60" s="24" t="s">
        <v>72</v>
      </c>
      <c r="D60" s="26" t="s">
        <v>73</v>
      </c>
      <c r="E60" s="26" t="s">
        <v>134</v>
      </c>
      <c r="F60" s="38">
        <v>45804</v>
      </c>
      <c r="G60" s="17"/>
      <c r="H60" s="25" t="s">
        <v>75</v>
      </c>
      <c r="I60" s="15" t="s">
        <v>136</v>
      </c>
      <c r="J60" s="25" t="s">
        <v>140</v>
      </c>
      <c r="K60" s="27" t="s">
        <v>77</v>
      </c>
      <c r="L60" s="18" t="s">
        <v>78</v>
      </c>
      <c r="M60" s="26" t="s">
        <v>79</v>
      </c>
      <c r="N60" s="17" t="s">
        <v>80</v>
      </c>
    </row>
    <row r="61" spans="1:14" ht="120" x14ac:dyDescent="0.25">
      <c r="A61" s="26">
        <f t="shared" si="0"/>
        <v>31</v>
      </c>
      <c r="B61" s="23" t="s">
        <v>19</v>
      </c>
      <c r="C61" s="26" t="s">
        <v>83</v>
      </c>
      <c r="D61" s="26" t="s">
        <v>84</v>
      </c>
      <c r="E61" s="26" t="s">
        <v>134</v>
      </c>
      <c r="F61" s="38">
        <v>45806</v>
      </c>
      <c r="G61" s="17"/>
      <c r="H61" s="25" t="s">
        <v>75</v>
      </c>
      <c r="I61" s="15" t="s">
        <v>136</v>
      </c>
      <c r="J61" s="25" t="s">
        <v>113</v>
      </c>
      <c r="K61" s="27" t="s">
        <v>77</v>
      </c>
      <c r="L61" s="18" t="s">
        <v>78</v>
      </c>
      <c r="M61" s="26" t="s">
        <v>79</v>
      </c>
      <c r="N61" s="17" t="s">
        <v>80</v>
      </c>
    </row>
    <row r="62" spans="1:14" ht="120" x14ac:dyDescent="0.25">
      <c r="A62" s="26">
        <v>31</v>
      </c>
      <c r="B62" s="23" t="s">
        <v>109</v>
      </c>
      <c r="C62" s="26" t="s">
        <v>81</v>
      </c>
      <c r="D62" s="26" t="s">
        <v>90</v>
      </c>
      <c r="E62" s="26" t="s">
        <v>134</v>
      </c>
      <c r="F62" s="38">
        <v>45807</v>
      </c>
      <c r="G62" s="17"/>
      <c r="H62" s="25" t="s">
        <v>75</v>
      </c>
      <c r="I62" s="15" t="s">
        <v>136</v>
      </c>
      <c r="J62" s="25" t="s">
        <v>113</v>
      </c>
      <c r="K62" s="27" t="s">
        <v>77</v>
      </c>
      <c r="L62" s="18" t="s">
        <v>78</v>
      </c>
      <c r="M62" s="26" t="s">
        <v>79</v>
      </c>
      <c r="N62" s="17" t="s">
        <v>80</v>
      </c>
    </row>
    <row r="63" spans="1:14" ht="135" x14ac:dyDescent="0.25">
      <c r="A63" s="26">
        <f t="shared" si="0"/>
        <v>32</v>
      </c>
      <c r="B63" s="23" t="s">
        <v>110</v>
      </c>
      <c r="C63" s="26" t="s">
        <v>87</v>
      </c>
      <c r="D63" s="26" t="s">
        <v>88</v>
      </c>
      <c r="E63" s="26" t="s">
        <v>141</v>
      </c>
      <c r="F63" s="38">
        <v>45811</v>
      </c>
      <c r="G63" s="17"/>
      <c r="H63" s="25" t="s">
        <v>75</v>
      </c>
      <c r="I63" s="15" t="s">
        <v>133</v>
      </c>
      <c r="J63" s="25" t="s">
        <v>140</v>
      </c>
      <c r="K63" s="27" t="s">
        <v>77</v>
      </c>
      <c r="L63" s="28" t="s">
        <v>78</v>
      </c>
      <c r="M63" s="26" t="s">
        <v>79</v>
      </c>
      <c r="N63" s="17" t="s">
        <v>80</v>
      </c>
    </row>
    <row r="64" spans="1:14" ht="90" x14ac:dyDescent="0.25">
      <c r="A64" s="26">
        <v>32</v>
      </c>
      <c r="B64" s="23" t="s">
        <v>19</v>
      </c>
      <c r="C64" s="26" t="s">
        <v>83</v>
      </c>
      <c r="D64" s="26" t="s">
        <v>84</v>
      </c>
      <c r="E64" s="26" t="s">
        <v>141</v>
      </c>
      <c r="F64" s="38">
        <v>45814</v>
      </c>
      <c r="G64" s="17"/>
      <c r="H64" s="25" t="s">
        <v>75</v>
      </c>
      <c r="I64" s="15" t="s">
        <v>133</v>
      </c>
      <c r="J64" s="25" t="s">
        <v>142</v>
      </c>
      <c r="K64" s="27" t="s">
        <v>97</v>
      </c>
      <c r="L64" s="28" t="s">
        <v>78</v>
      </c>
      <c r="M64" s="26" t="s">
        <v>79</v>
      </c>
      <c r="N64" s="17" t="s">
        <v>80</v>
      </c>
    </row>
    <row r="65" spans="1:14" ht="90" x14ac:dyDescent="0.25">
      <c r="A65" s="26">
        <f t="shared" si="0"/>
        <v>33</v>
      </c>
      <c r="B65" s="23" t="s">
        <v>109</v>
      </c>
      <c r="C65" s="26" t="s">
        <v>81</v>
      </c>
      <c r="D65" s="26" t="s">
        <v>90</v>
      </c>
      <c r="E65" s="26" t="s">
        <v>141</v>
      </c>
      <c r="F65" s="38">
        <v>45814</v>
      </c>
      <c r="G65" s="17"/>
      <c r="H65" s="25" t="s">
        <v>75</v>
      </c>
      <c r="I65" s="15" t="s">
        <v>133</v>
      </c>
      <c r="J65" s="25" t="s">
        <v>142</v>
      </c>
      <c r="K65" s="27" t="s">
        <v>97</v>
      </c>
      <c r="L65" s="28" t="s">
        <v>78</v>
      </c>
      <c r="M65" s="26" t="s">
        <v>79</v>
      </c>
      <c r="N65" s="17" t="s">
        <v>80</v>
      </c>
    </row>
    <row r="66" spans="1:14" ht="90" x14ac:dyDescent="0.25">
      <c r="A66" s="26">
        <v>33</v>
      </c>
      <c r="B66" s="23" t="s">
        <v>110</v>
      </c>
      <c r="C66" s="26" t="s">
        <v>87</v>
      </c>
      <c r="D66" s="26" t="s">
        <v>88</v>
      </c>
      <c r="E66" s="26" t="s">
        <v>141</v>
      </c>
      <c r="F66" s="38">
        <v>45814</v>
      </c>
      <c r="G66" s="17"/>
      <c r="H66" s="25" t="s">
        <v>75</v>
      </c>
      <c r="I66" s="15" t="s">
        <v>133</v>
      </c>
      <c r="J66" s="25" t="s">
        <v>142</v>
      </c>
      <c r="K66" s="27" t="s">
        <v>97</v>
      </c>
      <c r="L66" s="28" t="s">
        <v>78</v>
      </c>
      <c r="M66" s="26" t="s">
        <v>79</v>
      </c>
      <c r="N66" s="17" t="s">
        <v>80</v>
      </c>
    </row>
    <row r="67" spans="1:14" ht="105" x14ac:dyDescent="0.25">
      <c r="A67" s="26">
        <f t="shared" ref="A67:A93" si="1">+A66+1</f>
        <v>34</v>
      </c>
      <c r="B67" s="26" t="s">
        <v>111</v>
      </c>
      <c r="C67" s="26" t="s">
        <v>87</v>
      </c>
      <c r="D67" s="26" t="s">
        <v>100</v>
      </c>
      <c r="E67" s="26" t="s">
        <v>141</v>
      </c>
      <c r="F67" s="38">
        <v>45814</v>
      </c>
      <c r="G67" s="17"/>
      <c r="H67" s="25" t="s">
        <v>75</v>
      </c>
      <c r="I67" s="15" t="s">
        <v>133</v>
      </c>
      <c r="J67" s="25" t="s">
        <v>142</v>
      </c>
      <c r="K67" s="27" t="s">
        <v>97</v>
      </c>
      <c r="L67" s="28" t="s">
        <v>78</v>
      </c>
      <c r="M67" s="26" t="s">
        <v>79</v>
      </c>
      <c r="N67" s="17" t="s">
        <v>80</v>
      </c>
    </row>
    <row r="68" spans="1:14" ht="105" x14ac:dyDescent="0.25">
      <c r="A68" s="26">
        <v>34</v>
      </c>
      <c r="B68" s="26" t="s">
        <v>111</v>
      </c>
      <c r="C68" s="26" t="s">
        <v>87</v>
      </c>
      <c r="D68" s="26" t="s">
        <v>100</v>
      </c>
      <c r="E68" s="26" t="s">
        <v>141</v>
      </c>
      <c r="F68" s="38">
        <v>45823</v>
      </c>
      <c r="G68" s="17"/>
      <c r="H68" s="25" t="s">
        <v>75</v>
      </c>
      <c r="I68" s="15" t="s">
        <v>133</v>
      </c>
      <c r="J68" s="25" t="s">
        <v>124</v>
      </c>
      <c r="K68" s="27" t="s">
        <v>77</v>
      </c>
      <c r="L68" s="28" t="s">
        <v>78</v>
      </c>
      <c r="M68" s="26" t="s">
        <v>79</v>
      </c>
      <c r="N68" s="17" t="s">
        <v>80</v>
      </c>
    </row>
    <row r="69" spans="1:14" ht="75" x14ac:dyDescent="0.25">
      <c r="A69" s="26">
        <f t="shared" si="1"/>
        <v>35</v>
      </c>
      <c r="B69" s="23" t="s">
        <v>19</v>
      </c>
      <c r="C69" s="26" t="s">
        <v>83</v>
      </c>
      <c r="D69" s="26" t="s">
        <v>84</v>
      </c>
      <c r="E69" s="26" t="s">
        <v>141</v>
      </c>
      <c r="F69" s="38">
        <v>45824</v>
      </c>
      <c r="G69" s="17"/>
      <c r="H69" s="25" t="s">
        <v>75</v>
      </c>
      <c r="I69" s="15" t="s">
        <v>133</v>
      </c>
      <c r="J69" s="25" t="s">
        <v>124</v>
      </c>
      <c r="K69" s="27" t="s">
        <v>77</v>
      </c>
      <c r="L69" s="28" t="s">
        <v>78</v>
      </c>
      <c r="M69" s="26" t="s">
        <v>79</v>
      </c>
      <c r="N69" s="17" t="s">
        <v>80</v>
      </c>
    </row>
    <row r="70" spans="1:14" ht="105" x14ac:dyDescent="0.25">
      <c r="A70" s="26">
        <v>35</v>
      </c>
      <c r="B70" s="26" t="s">
        <v>33</v>
      </c>
      <c r="C70" s="24" t="s">
        <v>72</v>
      </c>
      <c r="D70" s="26" t="s">
        <v>73</v>
      </c>
      <c r="E70" s="26" t="s">
        <v>141</v>
      </c>
      <c r="F70" s="38">
        <v>45824</v>
      </c>
      <c r="G70" s="17"/>
      <c r="H70" s="25" t="s">
        <v>75</v>
      </c>
      <c r="I70" s="15" t="s">
        <v>133</v>
      </c>
      <c r="J70" s="25" t="s">
        <v>143</v>
      </c>
      <c r="K70" s="27" t="s">
        <v>97</v>
      </c>
      <c r="L70" s="28" t="s">
        <v>78</v>
      </c>
      <c r="M70" s="26" t="s">
        <v>79</v>
      </c>
      <c r="N70" s="17" t="s">
        <v>80</v>
      </c>
    </row>
    <row r="71" spans="1:14" ht="60" x14ac:dyDescent="0.25">
      <c r="A71" s="26">
        <f t="shared" si="1"/>
        <v>36</v>
      </c>
      <c r="B71" s="23" t="s">
        <v>109</v>
      </c>
      <c r="C71" s="26" t="s">
        <v>81</v>
      </c>
      <c r="D71" s="26" t="s">
        <v>90</v>
      </c>
      <c r="E71" s="26" t="s">
        <v>141</v>
      </c>
      <c r="F71" s="38">
        <v>45828</v>
      </c>
      <c r="G71" s="17"/>
      <c r="H71" s="25" t="s">
        <v>75</v>
      </c>
      <c r="I71" s="15" t="s">
        <v>133</v>
      </c>
      <c r="J71" s="25" t="s">
        <v>144</v>
      </c>
      <c r="K71" s="27" t="s">
        <v>97</v>
      </c>
      <c r="L71" s="28" t="s">
        <v>78</v>
      </c>
      <c r="M71" s="26" t="s">
        <v>79</v>
      </c>
      <c r="N71" s="17" t="s">
        <v>80</v>
      </c>
    </row>
    <row r="72" spans="1:14" ht="75" x14ac:dyDescent="0.25">
      <c r="A72" s="26">
        <v>36</v>
      </c>
      <c r="B72" s="23" t="s">
        <v>19</v>
      </c>
      <c r="C72" s="26" t="s">
        <v>83</v>
      </c>
      <c r="D72" s="26" t="s">
        <v>84</v>
      </c>
      <c r="E72" s="26" t="s">
        <v>141</v>
      </c>
      <c r="F72" s="38">
        <v>45832</v>
      </c>
      <c r="G72" s="17"/>
      <c r="H72" s="25" t="s">
        <v>75</v>
      </c>
      <c r="I72" s="15" t="s">
        <v>133</v>
      </c>
      <c r="J72" s="25" t="s">
        <v>124</v>
      </c>
      <c r="K72" s="27" t="s">
        <v>77</v>
      </c>
      <c r="L72" s="28" t="s">
        <v>78</v>
      </c>
      <c r="M72" s="26" t="s">
        <v>79</v>
      </c>
      <c r="N72" s="17" t="s">
        <v>80</v>
      </c>
    </row>
    <row r="73" spans="1:14" ht="75" x14ac:dyDescent="0.25">
      <c r="A73" s="26">
        <f t="shared" si="1"/>
        <v>37</v>
      </c>
      <c r="B73" s="23" t="s">
        <v>109</v>
      </c>
      <c r="C73" s="26" t="s">
        <v>81</v>
      </c>
      <c r="D73" s="26" t="s">
        <v>90</v>
      </c>
      <c r="E73" s="26" t="s">
        <v>141</v>
      </c>
      <c r="F73" s="38">
        <v>45833</v>
      </c>
      <c r="G73" s="17"/>
      <c r="H73" s="25" t="s">
        <v>75</v>
      </c>
      <c r="I73" s="15" t="s">
        <v>133</v>
      </c>
      <c r="J73" s="25" t="s">
        <v>124</v>
      </c>
      <c r="K73" s="27" t="s">
        <v>77</v>
      </c>
      <c r="L73" s="28" t="s">
        <v>78</v>
      </c>
      <c r="M73" s="26" t="s">
        <v>79</v>
      </c>
      <c r="N73" s="17" t="s">
        <v>80</v>
      </c>
    </row>
    <row r="74" spans="1:14" ht="105" x14ac:dyDescent="0.25">
      <c r="A74" s="26">
        <v>37</v>
      </c>
      <c r="B74" s="27" t="s">
        <v>150</v>
      </c>
      <c r="C74" s="26" t="s">
        <v>87</v>
      </c>
      <c r="D74" s="26" t="s">
        <v>89</v>
      </c>
      <c r="E74" s="26" t="s">
        <v>151</v>
      </c>
      <c r="F74" s="38">
        <v>45839</v>
      </c>
      <c r="G74" s="37">
        <v>1</v>
      </c>
      <c r="H74" s="25" t="s">
        <v>75</v>
      </c>
      <c r="I74" s="15" t="s">
        <v>152</v>
      </c>
      <c r="J74" s="25" t="s">
        <v>143</v>
      </c>
      <c r="K74" s="27" t="s">
        <v>97</v>
      </c>
      <c r="L74" s="28" t="s">
        <v>78</v>
      </c>
      <c r="M74" s="26" t="s">
        <v>79</v>
      </c>
      <c r="N74" s="17" t="s">
        <v>80</v>
      </c>
    </row>
    <row r="75" spans="1:14" ht="75" x14ac:dyDescent="0.25">
      <c r="A75" s="26">
        <f t="shared" si="1"/>
        <v>38</v>
      </c>
      <c r="B75" s="23" t="s">
        <v>153</v>
      </c>
      <c r="C75" s="26" t="s">
        <v>83</v>
      </c>
      <c r="D75" s="26" t="s">
        <v>84</v>
      </c>
      <c r="E75" s="26" t="s">
        <v>151</v>
      </c>
      <c r="F75" s="38">
        <v>45846</v>
      </c>
      <c r="G75" s="37">
        <v>1</v>
      </c>
      <c r="H75" s="25" t="s">
        <v>75</v>
      </c>
      <c r="I75" s="15" t="s">
        <v>136</v>
      </c>
      <c r="J75" s="25" t="s">
        <v>124</v>
      </c>
      <c r="K75" s="27" t="s">
        <v>77</v>
      </c>
      <c r="L75" s="28" t="s">
        <v>78</v>
      </c>
      <c r="M75" s="26" t="s">
        <v>79</v>
      </c>
      <c r="N75" s="17" t="s">
        <v>80</v>
      </c>
    </row>
    <row r="76" spans="1:14" ht="75" x14ac:dyDescent="0.25">
      <c r="A76" s="26">
        <v>38</v>
      </c>
      <c r="B76" s="23" t="s">
        <v>154</v>
      </c>
      <c r="C76" s="26" t="s">
        <v>81</v>
      </c>
      <c r="D76" s="23" t="s">
        <v>90</v>
      </c>
      <c r="E76" s="26" t="s">
        <v>151</v>
      </c>
      <c r="F76" s="38">
        <v>45848</v>
      </c>
      <c r="G76" s="37">
        <v>1</v>
      </c>
      <c r="H76" s="25" t="s">
        <v>101</v>
      </c>
      <c r="I76" s="15" t="s">
        <v>136</v>
      </c>
      <c r="J76" s="25" t="s">
        <v>124</v>
      </c>
      <c r="K76" s="27" t="s">
        <v>97</v>
      </c>
      <c r="L76" s="28" t="s">
        <v>78</v>
      </c>
      <c r="M76" s="26" t="s">
        <v>79</v>
      </c>
      <c r="N76" s="17" t="s">
        <v>80</v>
      </c>
    </row>
    <row r="77" spans="1:14" ht="105" x14ac:dyDescent="0.25">
      <c r="A77" s="26">
        <f t="shared" si="1"/>
        <v>39</v>
      </c>
      <c r="B77" s="23" t="s">
        <v>153</v>
      </c>
      <c r="C77" s="26" t="s">
        <v>83</v>
      </c>
      <c r="D77" s="26" t="s">
        <v>84</v>
      </c>
      <c r="E77" s="26" t="s">
        <v>151</v>
      </c>
      <c r="F77" s="38">
        <v>45855</v>
      </c>
      <c r="G77" s="37">
        <v>1</v>
      </c>
      <c r="H77" s="25" t="s">
        <v>75</v>
      </c>
      <c r="I77" s="15" t="s">
        <v>152</v>
      </c>
      <c r="J77" s="25" t="s">
        <v>143</v>
      </c>
      <c r="K77" s="27" t="s">
        <v>97</v>
      </c>
      <c r="L77" s="28" t="s">
        <v>78</v>
      </c>
      <c r="M77" s="26" t="s">
        <v>79</v>
      </c>
      <c r="N77" s="17" t="s">
        <v>80</v>
      </c>
    </row>
    <row r="78" spans="1:14" ht="60" x14ac:dyDescent="0.25">
      <c r="A78" s="26">
        <v>39</v>
      </c>
      <c r="B78" s="27" t="s">
        <v>150</v>
      </c>
      <c r="C78" s="26" t="s">
        <v>87</v>
      </c>
      <c r="D78" s="26" t="s">
        <v>89</v>
      </c>
      <c r="E78" s="26" t="s">
        <v>151</v>
      </c>
      <c r="F78" s="38">
        <v>45858</v>
      </c>
      <c r="G78" s="37">
        <v>1</v>
      </c>
      <c r="H78" s="25" t="s">
        <v>75</v>
      </c>
      <c r="I78" s="15" t="s">
        <v>155</v>
      </c>
      <c r="J78" s="25" t="s">
        <v>144</v>
      </c>
      <c r="K78" s="27" t="s">
        <v>77</v>
      </c>
      <c r="L78" s="28" t="s">
        <v>78</v>
      </c>
      <c r="M78" s="26" t="s">
        <v>79</v>
      </c>
      <c r="N78" s="17" t="s">
        <v>80</v>
      </c>
    </row>
    <row r="79" spans="1:14" ht="105" x14ac:dyDescent="0.25">
      <c r="A79" s="26">
        <f t="shared" si="1"/>
        <v>40</v>
      </c>
      <c r="B79" s="26" t="s">
        <v>156</v>
      </c>
      <c r="C79" s="26" t="s">
        <v>83</v>
      </c>
      <c r="D79" s="26" t="s">
        <v>95</v>
      </c>
      <c r="E79" s="26" t="s">
        <v>151</v>
      </c>
      <c r="F79" s="38">
        <v>45859</v>
      </c>
      <c r="G79" s="37">
        <v>1</v>
      </c>
      <c r="H79" s="25" t="s">
        <v>75</v>
      </c>
      <c r="I79" s="15" t="s">
        <v>152</v>
      </c>
      <c r="J79" s="25" t="s">
        <v>143</v>
      </c>
      <c r="K79" s="27" t="s">
        <v>77</v>
      </c>
      <c r="L79" s="28" t="s">
        <v>78</v>
      </c>
      <c r="M79" s="26" t="s">
        <v>79</v>
      </c>
      <c r="N79" s="17" t="s">
        <v>80</v>
      </c>
    </row>
    <row r="80" spans="1:14" ht="105" x14ac:dyDescent="0.25">
      <c r="A80" s="26">
        <v>40</v>
      </c>
      <c r="B80" s="26" t="s">
        <v>157</v>
      </c>
      <c r="C80" s="26" t="s">
        <v>93</v>
      </c>
      <c r="D80" s="26" t="s">
        <v>158</v>
      </c>
      <c r="E80" s="26" t="s">
        <v>151</v>
      </c>
      <c r="F80" s="38">
        <v>45861</v>
      </c>
      <c r="G80" s="37">
        <v>1</v>
      </c>
      <c r="H80" s="25" t="s">
        <v>75</v>
      </c>
      <c r="I80" s="15" t="s">
        <v>152</v>
      </c>
      <c r="J80" s="25" t="s">
        <v>143</v>
      </c>
      <c r="K80" s="27" t="s">
        <v>97</v>
      </c>
      <c r="L80" s="28" t="s">
        <v>78</v>
      </c>
      <c r="M80" s="26" t="s">
        <v>79</v>
      </c>
      <c r="N80" s="17" t="s">
        <v>80</v>
      </c>
    </row>
    <row r="81" spans="1:14" ht="105" x14ac:dyDescent="0.25">
      <c r="A81" s="26">
        <f t="shared" si="1"/>
        <v>41</v>
      </c>
      <c r="B81" s="26" t="s">
        <v>156</v>
      </c>
      <c r="C81" s="26" t="s">
        <v>83</v>
      </c>
      <c r="D81" s="26" t="s">
        <v>95</v>
      </c>
      <c r="E81" s="26" t="s">
        <v>151</v>
      </c>
      <c r="F81" s="38">
        <v>45868</v>
      </c>
      <c r="G81" s="37">
        <v>1</v>
      </c>
      <c r="H81" s="25" t="s">
        <v>75</v>
      </c>
      <c r="I81" s="15" t="s">
        <v>152</v>
      </c>
      <c r="J81" s="25" t="s">
        <v>143</v>
      </c>
      <c r="K81" s="27" t="s">
        <v>77</v>
      </c>
      <c r="L81" s="28" t="s">
        <v>78</v>
      </c>
      <c r="M81" s="26" t="s">
        <v>79</v>
      </c>
      <c r="N81" s="17" t="s">
        <v>80</v>
      </c>
    </row>
    <row r="82" spans="1:14" ht="90" x14ac:dyDescent="0.25">
      <c r="A82" s="26">
        <v>41</v>
      </c>
      <c r="B82" s="27" t="s">
        <v>150</v>
      </c>
      <c r="C82" s="26" t="s">
        <v>87</v>
      </c>
      <c r="D82" s="26" t="s">
        <v>89</v>
      </c>
      <c r="E82" s="26" t="s">
        <v>151</v>
      </c>
      <c r="F82" s="38">
        <v>45868</v>
      </c>
      <c r="G82" s="37">
        <v>1</v>
      </c>
      <c r="H82" s="25" t="s">
        <v>75</v>
      </c>
      <c r="I82" s="15" t="s">
        <v>159</v>
      </c>
      <c r="J82" s="25" t="s">
        <v>142</v>
      </c>
      <c r="K82" s="27" t="s">
        <v>97</v>
      </c>
      <c r="L82" s="28" t="s">
        <v>78</v>
      </c>
      <c r="M82" s="26" t="s">
        <v>79</v>
      </c>
      <c r="N82" s="17" t="s">
        <v>80</v>
      </c>
    </row>
    <row r="83" spans="1:14" ht="90" x14ac:dyDescent="0.25">
      <c r="A83" s="26">
        <f t="shared" si="1"/>
        <v>42</v>
      </c>
      <c r="B83" s="27" t="s">
        <v>150</v>
      </c>
      <c r="C83" s="26" t="s">
        <v>87</v>
      </c>
      <c r="D83" s="26" t="s">
        <v>89</v>
      </c>
      <c r="E83" s="26" t="s">
        <v>160</v>
      </c>
      <c r="F83" s="38">
        <v>45870</v>
      </c>
      <c r="G83" s="37">
        <v>1</v>
      </c>
      <c r="H83" s="25" t="s">
        <v>75</v>
      </c>
      <c r="I83" s="15" t="s">
        <v>159</v>
      </c>
      <c r="J83" s="25" t="s">
        <v>142</v>
      </c>
      <c r="K83" s="27" t="s">
        <v>97</v>
      </c>
      <c r="L83" s="28" t="s">
        <v>78</v>
      </c>
      <c r="M83" s="26" t="s">
        <v>79</v>
      </c>
      <c r="N83" s="17" t="s">
        <v>80</v>
      </c>
    </row>
    <row r="84" spans="1:14" ht="90" x14ac:dyDescent="0.25">
      <c r="A84" s="26">
        <v>42</v>
      </c>
      <c r="B84" s="26" t="s">
        <v>156</v>
      </c>
      <c r="C84" s="26" t="s">
        <v>83</v>
      </c>
      <c r="D84" s="26" t="s">
        <v>95</v>
      </c>
      <c r="E84" s="26" t="s">
        <v>160</v>
      </c>
      <c r="F84" s="38">
        <v>45870</v>
      </c>
      <c r="G84" s="37">
        <v>1</v>
      </c>
      <c r="H84" s="25" t="s">
        <v>75</v>
      </c>
      <c r="I84" s="15" t="s">
        <v>159</v>
      </c>
      <c r="J84" s="25" t="s">
        <v>142</v>
      </c>
      <c r="K84" s="27" t="s">
        <v>97</v>
      </c>
      <c r="L84" s="28" t="s">
        <v>78</v>
      </c>
      <c r="M84" s="26" t="s">
        <v>79</v>
      </c>
      <c r="N84" s="17" t="s">
        <v>80</v>
      </c>
    </row>
    <row r="85" spans="1:14" ht="75" x14ac:dyDescent="0.25">
      <c r="A85" s="26">
        <f t="shared" si="1"/>
        <v>43</v>
      </c>
      <c r="B85" s="23" t="s">
        <v>153</v>
      </c>
      <c r="C85" s="26" t="s">
        <v>83</v>
      </c>
      <c r="D85" s="26" t="s">
        <v>84</v>
      </c>
      <c r="E85" s="26" t="s">
        <v>160</v>
      </c>
      <c r="F85" s="38">
        <v>45878</v>
      </c>
      <c r="G85" s="37">
        <v>1</v>
      </c>
      <c r="H85" s="25" t="s">
        <v>75</v>
      </c>
      <c r="I85" s="15" t="s">
        <v>136</v>
      </c>
      <c r="J85" s="25" t="s">
        <v>124</v>
      </c>
      <c r="K85" s="27" t="s">
        <v>77</v>
      </c>
      <c r="L85" s="28" t="s">
        <v>78</v>
      </c>
      <c r="M85" s="26" t="s">
        <v>79</v>
      </c>
      <c r="N85" s="17" t="s">
        <v>80</v>
      </c>
    </row>
    <row r="86" spans="1:14" ht="75" x14ac:dyDescent="0.25">
      <c r="A86" s="26">
        <v>43</v>
      </c>
      <c r="B86" s="23" t="s">
        <v>154</v>
      </c>
      <c r="C86" s="26" t="s">
        <v>81</v>
      </c>
      <c r="D86" s="23" t="s">
        <v>90</v>
      </c>
      <c r="E86" s="26" t="s">
        <v>160</v>
      </c>
      <c r="F86" s="38">
        <v>45889</v>
      </c>
      <c r="G86" s="37">
        <v>1</v>
      </c>
      <c r="H86" s="25" t="s">
        <v>101</v>
      </c>
      <c r="I86" s="15" t="s">
        <v>136</v>
      </c>
      <c r="J86" s="25" t="s">
        <v>124</v>
      </c>
      <c r="K86" s="27" t="s">
        <v>97</v>
      </c>
      <c r="L86" s="28" t="s">
        <v>78</v>
      </c>
      <c r="M86" s="26" t="s">
        <v>79</v>
      </c>
      <c r="N86" s="17" t="s">
        <v>80</v>
      </c>
    </row>
    <row r="87" spans="1:14" ht="90" x14ac:dyDescent="0.25">
      <c r="A87" s="26">
        <f t="shared" si="1"/>
        <v>44</v>
      </c>
      <c r="B87" s="23" t="s">
        <v>161</v>
      </c>
      <c r="C87" s="26" t="s">
        <v>87</v>
      </c>
      <c r="D87" s="26" t="s">
        <v>162</v>
      </c>
      <c r="E87" s="26" t="s">
        <v>160</v>
      </c>
      <c r="F87" s="38">
        <v>45895</v>
      </c>
      <c r="G87" s="37">
        <v>1</v>
      </c>
      <c r="H87" s="25" t="s">
        <v>75</v>
      </c>
      <c r="I87" s="15" t="s">
        <v>163</v>
      </c>
      <c r="J87" s="25" t="s">
        <v>164</v>
      </c>
      <c r="K87" s="27" t="s">
        <v>97</v>
      </c>
      <c r="L87" s="28" t="s">
        <v>78</v>
      </c>
      <c r="M87" s="26" t="s">
        <v>79</v>
      </c>
      <c r="N87" s="17" t="s">
        <v>80</v>
      </c>
    </row>
    <row r="88" spans="1:14" ht="105" x14ac:dyDescent="0.25">
      <c r="A88" s="26">
        <v>44</v>
      </c>
      <c r="B88" s="26" t="s">
        <v>165</v>
      </c>
      <c r="C88" s="26" t="s">
        <v>87</v>
      </c>
      <c r="D88" s="26" t="s">
        <v>100</v>
      </c>
      <c r="E88" s="26" t="s">
        <v>160</v>
      </c>
      <c r="F88" s="38">
        <v>45895</v>
      </c>
      <c r="G88" s="37">
        <v>1</v>
      </c>
      <c r="H88" s="25" t="s">
        <v>75</v>
      </c>
      <c r="I88" s="15" t="s">
        <v>136</v>
      </c>
      <c r="J88" s="25" t="s">
        <v>124</v>
      </c>
      <c r="K88" s="27" t="s">
        <v>77</v>
      </c>
      <c r="L88" s="28" t="s">
        <v>78</v>
      </c>
      <c r="M88" s="26" t="s">
        <v>79</v>
      </c>
      <c r="N88" s="17" t="s">
        <v>80</v>
      </c>
    </row>
    <row r="89" spans="1:14" ht="105" x14ac:dyDescent="0.25">
      <c r="A89" s="26">
        <f t="shared" si="1"/>
        <v>45</v>
      </c>
      <c r="B89" s="26" t="s">
        <v>165</v>
      </c>
      <c r="C89" s="26" t="s">
        <v>87</v>
      </c>
      <c r="D89" s="26" t="s">
        <v>100</v>
      </c>
      <c r="E89" s="26" t="s">
        <v>160</v>
      </c>
      <c r="F89" s="38">
        <v>45897</v>
      </c>
      <c r="G89" s="37">
        <v>1</v>
      </c>
      <c r="H89" s="25" t="s">
        <v>75</v>
      </c>
      <c r="I89" s="15" t="s">
        <v>166</v>
      </c>
      <c r="J89" s="25" t="s">
        <v>124</v>
      </c>
      <c r="K89" s="27" t="s">
        <v>77</v>
      </c>
      <c r="L89" s="28" t="s">
        <v>78</v>
      </c>
      <c r="M89" s="26" t="s">
        <v>79</v>
      </c>
      <c r="N89" s="17" t="s">
        <v>80</v>
      </c>
    </row>
    <row r="90" spans="1:14" ht="120" x14ac:dyDescent="0.25">
      <c r="A90" s="26">
        <v>45</v>
      </c>
      <c r="B90" s="27" t="s">
        <v>150</v>
      </c>
      <c r="C90" s="26" t="s">
        <v>87</v>
      </c>
      <c r="D90" s="26" t="s">
        <v>89</v>
      </c>
      <c r="E90" s="26" t="s">
        <v>167</v>
      </c>
      <c r="F90" s="38">
        <v>45944</v>
      </c>
      <c r="G90" s="37">
        <v>1</v>
      </c>
      <c r="H90" s="25" t="s">
        <v>75</v>
      </c>
      <c r="I90" s="15" t="s">
        <v>76</v>
      </c>
      <c r="J90" s="25" t="s">
        <v>113</v>
      </c>
      <c r="K90" s="27" t="s">
        <v>77</v>
      </c>
      <c r="L90" s="28" t="s">
        <v>78</v>
      </c>
      <c r="M90" s="26" t="s">
        <v>79</v>
      </c>
      <c r="N90" s="17" t="s">
        <v>80</v>
      </c>
    </row>
    <row r="91" spans="1:14" ht="75" x14ac:dyDescent="0.25">
      <c r="A91" s="26">
        <f t="shared" si="1"/>
        <v>46</v>
      </c>
      <c r="B91" s="23" t="s">
        <v>154</v>
      </c>
      <c r="C91" s="26" t="s">
        <v>81</v>
      </c>
      <c r="D91" s="23" t="s">
        <v>90</v>
      </c>
      <c r="E91" s="26" t="s">
        <v>167</v>
      </c>
      <c r="F91" s="38">
        <v>45947</v>
      </c>
      <c r="G91" s="37">
        <v>1</v>
      </c>
      <c r="H91" s="25" t="s">
        <v>101</v>
      </c>
      <c r="I91" s="15" t="s">
        <v>136</v>
      </c>
      <c r="J91" s="25" t="s">
        <v>124</v>
      </c>
      <c r="K91" s="27" t="s">
        <v>77</v>
      </c>
      <c r="L91" s="28" t="s">
        <v>78</v>
      </c>
      <c r="M91" s="26" t="s">
        <v>79</v>
      </c>
      <c r="N91" s="17" t="s">
        <v>80</v>
      </c>
    </row>
    <row r="92" spans="1:14" ht="150" x14ac:dyDescent="0.25">
      <c r="A92" s="26">
        <v>46</v>
      </c>
      <c r="B92" s="23" t="s">
        <v>154</v>
      </c>
      <c r="C92" s="26" t="s">
        <v>81</v>
      </c>
      <c r="D92" s="23" t="s">
        <v>90</v>
      </c>
      <c r="E92" s="26" t="s">
        <v>167</v>
      </c>
      <c r="F92" s="38">
        <v>45948</v>
      </c>
      <c r="G92" s="37">
        <v>1</v>
      </c>
      <c r="H92" s="25" t="s">
        <v>101</v>
      </c>
      <c r="I92" s="15" t="s">
        <v>136</v>
      </c>
      <c r="J92" s="25" t="s">
        <v>168</v>
      </c>
      <c r="K92" s="27" t="s">
        <v>97</v>
      </c>
      <c r="L92" s="28" t="s">
        <v>78</v>
      </c>
      <c r="M92" s="26" t="s">
        <v>79</v>
      </c>
      <c r="N92" s="17" t="s">
        <v>80</v>
      </c>
    </row>
    <row r="93" spans="1:14" ht="75" x14ac:dyDescent="0.25">
      <c r="A93" s="26">
        <f t="shared" si="1"/>
        <v>47</v>
      </c>
      <c r="B93" s="23" t="s">
        <v>154</v>
      </c>
      <c r="C93" s="26" t="s">
        <v>81</v>
      </c>
      <c r="D93" s="23" t="s">
        <v>90</v>
      </c>
      <c r="E93" s="26" t="s">
        <v>167</v>
      </c>
      <c r="F93" s="38">
        <v>45954</v>
      </c>
      <c r="G93" s="37">
        <v>1</v>
      </c>
      <c r="H93" s="25" t="s">
        <v>101</v>
      </c>
      <c r="I93" s="15" t="s">
        <v>136</v>
      </c>
      <c r="J93" s="25" t="s">
        <v>124</v>
      </c>
      <c r="K93" s="27" t="s">
        <v>77</v>
      </c>
      <c r="L93" s="28" t="s">
        <v>78</v>
      </c>
      <c r="M93" s="26" t="s">
        <v>79</v>
      </c>
      <c r="N93" s="17" t="s">
        <v>80</v>
      </c>
    </row>
    <row r="94" spans="1:14" ht="75" x14ac:dyDescent="0.25">
      <c r="A94" s="26">
        <v>47</v>
      </c>
      <c r="B94" s="23" t="s">
        <v>154</v>
      </c>
      <c r="C94" s="26" t="s">
        <v>81</v>
      </c>
      <c r="D94" s="23" t="s">
        <v>90</v>
      </c>
      <c r="E94" s="26" t="s">
        <v>167</v>
      </c>
      <c r="F94" s="38">
        <v>45955</v>
      </c>
      <c r="G94" s="37">
        <v>1</v>
      </c>
      <c r="H94" s="25" t="s">
        <v>101</v>
      </c>
      <c r="I94" s="15" t="s">
        <v>136</v>
      </c>
      <c r="J94" s="25" t="s">
        <v>124</v>
      </c>
      <c r="K94" s="27" t="s">
        <v>77</v>
      </c>
      <c r="L94" s="28" t="s">
        <v>78</v>
      </c>
      <c r="M94" s="26" t="s">
        <v>79</v>
      </c>
      <c r="N94" s="17" t="s">
        <v>80</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topLeftCell="H1" workbookViewId="0">
      <selection activeCell="M4" sqref="M4"/>
    </sheetView>
  </sheetViews>
  <sheetFormatPr baseColWidth="10" defaultRowHeight="15" x14ac:dyDescent="0.25"/>
  <cols>
    <col min="1" max="1" width="5.28515625" style="54" bestFit="1" customWidth="1"/>
    <col min="2" max="2" width="10.85546875" style="54" customWidth="1"/>
    <col min="3" max="3" width="7.42578125" style="54" bestFit="1" customWidth="1"/>
    <col min="4" max="4" width="11.42578125" style="54"/>
    <col min="5" max="5" width="8.5703125" style="54" bestFit="1" customWidth="1"/>
    <col min="6" max="6" width="11.42578125" style="54"/>
    <col min="7" max="7" width="21.85546875" style="54" customWidth="1"/>
    <col min="8" max="8" width="25.28515625" style="54" customWidth="1"/>
    <col min="9" max="9" width="99.7109375" style="54" customWidth="1"/>
    <col min="10" max="10" width="11.42578125" style="54"/>
    <col min="11" max="11" width="18.85546875" style="54" bestFit="1" customWidth="1"/>
    <col min="12" max="16384" width="11.42578125" style="54"/>
  </cols>
  <sheetData>
    <row r="1" spans="1:12" ht="30" x14ac:dyDescent="0.25">
      <c r="A1" s="11" t="s">
        <v>59</v>
      </c>
      <c r="B1" s="11" t="s">
        <v>1</v>
      </c>
      <c r="C1" s="11" t="s">
        <v>2</v>
      </c>
      <c r="D1" s="11" t="s">
        <v>60</v>
      </c>
      <c r="E1" s="11" t="s">
        <v>62</v>
      </c>
      <c r="F1" s="11" t="s">
        <v>63</v>
      </c>
      <c r="G1" s="11" t="s">
        <v>65</v>
      </c>
      <c r="H1" s="11" t="s">
        <v>66</v>
      </c>
      <c r="I1" s="11" t="s">
        <v>67</v>
      </c>
      <c r="J1" s="11" t="s">
        <v>68</v>
      </c>
      <c r="K1" s="11" t="s">
        <v>69</v>
      </c>
      <c r="L1" s="11" t="s">
        <v>169</v>
      </c>
    </row>
    <row r="2" spans="1:12" ht="60" x14ac:dyDescent="0.25">
      <c r="A2" s="23">
        <v>1</v>
      </c>
      <c r="B2" s="23" t="s">
        <v>211</v>
      </c>
      <c r="C2" s="23" t="s">
        <v>154</v>
      </c>
      <c r="D2" s="26" t="s">
        <v>81</v>
      </c>
      <c r="E2" s="23" t="s">
        <v>74</v>
      </c>
      <c r="F2" s="38">
        <v>46025</v>
      </c>
      <c r="G2" s="25" t="s">
        <v>101</v>
      </c>
      <c r="H2" s="15" t="s">
        <v>170</v>
      </c>
      <c r="I2" s="25" t="s">
        <v>171</v>
      </c>
      <c r="J2" s="27" t="s">
        <v>97</v>
      </c>
      <c r="K2" s="28" t="s">
        <v>78</v>
      </c>
      <c r="L2" s="39">
        <v>50</v>
      </c>
    </row>
    <row r="3" spans="1:12" ht="75" x14ac:dyDescent="0.25">
      <c r="A3" s="23">
        <f t="shared" ref="A3:A13" si="0">+A2+1</f>
        <v>2</v>
      </c>
      <c r="B3" s="23" t="s">
        <v>211</v>
      </c>
      <c r="C3" s="23" t="s">
        <v>154</v>
      </c>
      <c r="D3" s="26" t="s">
        <v>81</v>
      </c>
      <c r="E3" s="23" t="s">
        <v>74</v>
      </c>
      <c r="F3" s="38">
        <v>46030</v>
      </c>
      <c r="G3" s="25" t="s">
        <v>101</v>
      </c>
      <c r="H3" s="15" t="s">
        <v>170</v>
      </c>
      <c r="I3" s="25" t="s">
        <v>172</v>
      </c>
      <c r="J3" s="27" t="s">
        <v>97</v>
      </c>
      <c r="K3" s="28" t="s">
        <v>78</v>
      </c>
      <c r="L3" s="39">
        <v>50</v>
      </c>
    </row>
    <row r="4" spans="1:12" ht="75" x14ac:dyDescent="0.25">
      <c r="A4" s="23">
        <f t="shared" si="0"/>
        <v>3</v>
      </c>
      <c r="B4" s="23" t="s">
        <v>211</v>
      </c>
      <c r="C4" s="23" t="s">
        <v>161</v>
      </c>
      <c r="D4" s="26" t="s">
        <v>87</v>
      </c>
      <c r="E4" s="26" t="s">
        <v>74</v>
      </c>
      <c r="F4" s="38">
        <v>46030</v>
      </c>
      <c r="G4" s="25" t="s">
        <v>75</v>
      </c>
      <c r="H4" s="15" t="s">
        <v>136</v>
      </c>
      <c r="I4" s="25" t="s">
        <v>173</v>
      </c>
      <c r="J4" s="27" t="s">
        <v>97</v>
      </c>
      <c r="K4" s="28" t="s">
        <v>78</v>
      </c>
      <c r="L4" s="39">
        <v>50</v>
      </c>
    </row>
    <row r="5" spans="1:12" ht="45" x14ac:dyDescent="0.25">
      <c r="A5" s="23">
        <f t="shared" si="0"/>
        <v>4</v>
      </c>
      <c r="B5" s="23" t="s">
        <v>211</v>
      </c>
      <c r="C5" s="23" t="s">
        <v>161</v>
      </c>
      <c r="D5" s="26" t="s">
        <v>87</v>
      </c>
      <c r="E5" s="26" t="s">
        <v>74</v>
      </c>
      <c r="F5" s="38">
        <v>46032</v>
      </c>
      <c r="G5" s="25" t="s">
        <v>75</v>
      </c>
      <c r="H5" s="15" t="s">
        <v>136</v>
      </c>
      <c r="I5" s="25" t="s">
        <v>174</v>
      </c>
      <c r="J5" s="27" t="s">
        <v>97</v>
      </c>
      <c r="K5" s="28" t="s">
        <v>78</v>
      </c>
      <c r="L5" s="39">
        <v>50</v>
      </c>
    </row>
    <row r="6" spans="1:12" ht="45" x14ac:dyDescent="0.25">
      <c r="A6" s="23">
        <f t="shared" si="0"/>
        <v>5</v>
      </c>
      <c r="B6" s="23" t="s">
        <v>211</v>
      </c>
      <c r="C6" s="23" t="s">
        <v>175</v>
      </c>
      <c r="D6" s="26" t="s">
        <v>176</v>
      </c>
      <c r="E6" s="26" t="s">
        <v>74</v>
      </c>
      <c r="F6" s="38">
        <v>46034</v>
      </c>
      <c r="G6" s="25" t="s">
        <v>75</v>
      </c>
      <c r="H6" s="15" t="s">
        <v>159</v>
      </c>
      <c r="I6" s="25" t="s">
        <v>177</v>
      </c>
      <c r="J6" s="27" t="s">
        <v>97</v>
      </c>
      <c r="K6" s="28" t="s">
        <v>78</v>
      </c>
      <c r="L6" s="39">
        <v>50</v>
      </c>
    </row>
    <row r="7" spans="1:12" ht="30" x14ac:dyDescent="0.25">
      <c r="A7" s="23">
        <f t="shared" si="0"/>
        <v>6</v>
      </c>
      <c r="B7" s="23" t="s">
        <v>211</v>
      </c>
      <c r="C7" s="23" t="s">
        <v>178</v>
      </c>
      <c r="D7" s="26" t="s">
        <v>179</v>
      </c>
      <c r="E7" s="26" t="s">
        <v>74</v>
      </c>
      <c r="F7" s="38">
        <v>46035</v>
      </c>
      <c r="G7" s="25" t="s">
        <v>75</v>
      </c>
      <c r="H7" s="15" t="s">
        <v>180</v>
      </c>
      <c r="I7" s="25" t="s">
        <v>181</v>
      </c>
      <c r="J7" s="27" t="s">
        <v>92</v>
      </c>
      <c r="K7" s="28" t="s">
        <v>78</v>
      </c>
      <c r="L7" s="40">
        <v>73.75</v>
      </c>
    </row>
    <row r="8" spans="1:12" ht="45" x14ac:dyDescent="0.25">
      <c r="A8" s="23">
        <f t="shared" si="0"/>
        <v>7</v>
      </c>
      <c r="B8" s="23" t="s">
        <v>211</v>
      </c>
      <c r="C8" s="23" t="s">
        <v>161</v>
      </c>
      <c r="D8" s="26" t="s">
        <v>87</v>
      </c>
      <c r="E8" s="26" t="s">
        <v>74</v>
      </c>
      <c r="F8" s="38">
        <v>46037</v>
      </c>
      <c r="G8" s="25" t="s">
        <v>75</v>
      </c>
      <c r="H8" s="15" t="s">
        <v>136</v>
      </c>
      <c r="I8" s="25" t="s">
        <v>174</v>
      </c>
      <c r="J8" s="27" t="s">
        <v>97</v>
      </c>
      <c r="K8" s="28" t="s">
        <v>78</v>
      </c>
      <c r="L8" s="39">
        <v>50</v>
      </c>
    </row>
    <row r="9" spans="1:12" ht="45" x14ac:dyDescent="0.25">
      <c r="A9" s="23">
        <f t="shared" si="0"/>
        <v>8</v>
      </c>
      <c r="B9" s="23" t="s">
        <v>211</v>
      </c>
      <c r="C9" s="23" t="s">
        <v>161</v>
      </c>
      <c r="D9" s="26" t="s">
        <v>87</v>
      </c>
      <c r="E9" s="26" t="s">
        <v>74</v>
      </c>
      <c r="F9" s="38">
        <v>46042</v>
      </c>
      <c r="G9" s="25" t="s">
        <v>75</v>
      </c>
      <c r="H9" s="15" t="s">
        <v>136</v>
      </c>
      <c r="I9" s="25" t="s">
        <v>174</v>
      </c>
      <c r="J9" s="27" t="s">
        <v>97</v>
      </c>
      <c r="K9" s="28" t="s">
        <v>78</v>
      </c>
      <c r="L9" s="39">
        <v>50</v>
      </c>
    </row>
    <row r="10" spans="1:12" ht="45" x14ac:dyDescent="0.25">
      <c r="A10" s="23">
        <f t="shared" si="0"/>
        <v>9</v>
      </c>
      <c r="B10" s="23" t="s">
        <v>211</v>
      </c>
      <c r="C10" s="23" t="s">
        <v>175</v>
      </c>
      <c r="D10" s="26" t="s">
        <v>176</v>
      </c>
      <c r="E10" s="26" t="s">
        <v>74</v>
      </c>
      <c r="F10" s="38">
        <v>46042</v>
      </c>
      <c r="G10" s="25" t="s">
        <v>75</v>
      </c>
      <c r="H10" s="15" t="s">
        <v>182</v>
      </c>
      <c r="I10" s="25" t="s">
        <v>183</v>
      </c>
      <c r="J10" s="27" t="s">
        <v>77</v>
      </c>
      <c r="K10" s="28" t="s">
        <v>78</v>
      </c>
      <c r="L10" s="39">
        <v>37.5</v>
      </c>
    </row>
    <row r="11" spans="1:12" ht="45" x14ac:dyDescent="0.25">
      <c r="A11" s="23">
        <f t="shared" si="0"/>
        <v>10</v>
      </c>
      <c r="B11" s="23" t="s">
        <v>211</v>
      </c>
      <c r="C11" s="23" t="s">
        <v>161</v>
      </c>
      <c r="D11" s="26" t="s">
        <v>87</v>
      </c>
      <c r="E11" s="26" t="s">
        <v>74</v>
      </c>
      <c r="F11" s="38">
        <v>46044</v>
      </c>
      <c r="G11" s="25" t="s">
        <v>75</v>
      </c>
      <c r="H11" s="15" t="s">
        <v>136</v>
      </c>
      <c r="I11" s="25" t="s">
        <v>174</v>
      </c>
      <c r="J11" s="27" t="s">
        <v>97</v>
      </c>
      <c r="K11" s="28" t="s">
        <v>78</v>
      </c>
      <c r="L11" s="39">
        <v>50</v>
      </c>
    </row>
    <row r="12" spans="1:12" ht="45" x14ac:dyDescent="0.25">
      <c r="A12" s="23">
        <f t="shared" si="0"/>
        <v>11</v>
      </c>
      <c r="B12" s="23" t="s">
        <v>211</v>
      </c>
      <c r="C12" s="23" t="s">
        <v>175</v>
      </c>
      <c r="D12" s="26" t="s">
        <v>176</v>
      </c>
      <c r="E12" s="26" t="s">
        <v>74</v>
      </c>
      <c r="F12" s="38">
        <v>46048</v>
      </c>
      <c r="G12" s="25" t="s">
        <v>75</v>
      </c>
      <c r="H12" s="15" t="s">
        <v>184</v>
      </c>
      <c r="I12" s="25" t="s">
        <v>185</v>
      </c>
      <c r="J12" s="27" t="s">
        <v>92</v>
      </c>
      <c r="K12" s="28" t="s">
        <v>78</v>
      </c>
      <c r="L12" s="40">
        <v>73.75</v>
      </c>
    </row>
    <row r="13" spans="1:12" ht="45" x14ac:dyDescent="0.25">
      <c r="A13" s="23">
        <f t="shared" si="0"/>
        <v>12</v>
      </c>
      <c r="B13" s="23" t="s">
        <v>211</v>
      </c>
      <c r="C13" s="27" t="s">
        <v>150</v>
      </c>
      <c r="D13" s="26" t="s">
        <v>87</v>
      </c>
      <c r="E13" s="26" t="s">
        <v>74</v>
      </c>
      <c r="F13" s="38">
        <v>46048</v>
      </c>
      <c r="G13" s="25" t="s">
        <v>75</v>
      </c>
      <c r="H13" s="15" t="s">
        <v>136</v>
      </c>
      <c r="I13" s="25" t="s">
        <v>186</v>
      </c>
      <c r="J13" s="27" t="s">
        <v>92</v>
      </c>
      <c r="K13" s="28" t="s">
        <v>78</v>
      </c>
      <c r="L13" s="40">
        <v>73.75</v>
      </c>
    </row>
    <row r="14" spans="1:12" ht="45" x14ac:dyDescent="0.25">
      <c r="A14" s="23">
        <f>+A13+1</f>
        <v>13</v>
      </c>
      <c r="B14" s="23" t="s">
        <v>211</v>
      </c>
      <c r="C14" s="26" t="s">
        <v>165</v>
      </c>
      <c r="D14" s="26" t="s">
        <v>87</v>
      </c>
      <c r="E14" s="26" t="s">
        <v>96</v>
      </c>
      <c r="F14" s="38">
        <v>46065</v>
      </c>
      <c r="G14" s="25" t="s">
        <v>75</v>
      </c>
      <c r="H14" s="15" t="s">
        <v>187</v>
      </c>
      <c r="I14" s="25" t="s">
        <v>188</v>
      </c>
      <c r="J14" s="27" t="s">
        <v>97</v>
      </c>
      <c r="K14" s="28" t="s">
        <v>78</v>
      </c>
      <c r="L14" s="39">
        <v>50</v>
      </c>
    </row>
    <row r="15" spans="1:12" ht="45" x14ac:dyDescent="0.25">
      <c r="A15" s="23">
        <f>+A14+1</f>
        <v>14</v>
      </c>
      <c r="B15" s="23" t="s">
        <v>211</v>
      </c>
      <c r="C15" s="23" t="s">
        <v>153</v>
      </c>
      <c r="D15" s="26" t="s">
        <v>83</v>
      </c>
      <c r="E15" s="26" t="s">
        <v>96</v>
      </c>
      <c r="F15" s="38">
        <v>46065</v>
      </c>
      <c r="G15" s="25" t="s">
        <v>101</v>
      </c>
      <c r="H15" s="41" t="s">
        <v>155</v>
      </c>
      <c r="I15" s="25" t="s">
        <v>189</v>
      </c>
      <c r="J15" s="27" t="s">
        <v>97</v>
      </c>
      <c r="K15" s="28" t="s">
        <v>78</v>
      </c>
      <c r="L15" s="39">
        <v>50</v>
      </c>
    </row>
    <row r="16" spans="1:12" ht="45" x14ac:dyDescent="0.25">
      <c r="A16" s="23">
        <f t="shared" ref="A16:A21" si="1">+A15+1</f>
        <v>15</v>
      </c>
      <c r="B16" s="23" t="s">
        <v>211</v>
      </c>
      <c r="C16" s="23" t="s">
        <v>154</v>
      </c>
      <c r="D16" s="26" t="s">
        <v>81</v>
      </c>
      <c r="E16" s="23" t="s">
        <v>96</v>
      </c>
      <c r="F16" s="38">
        <v>46068</v>
      </c>
      <c r="G16" s="25" t="s">
        <v>101</v>
      </c>
      <c r="H16" s="15" t="s">
        <v>136</v>
      </c>
      <c r="I16" s="25" t="s">
        <v>124</v>
      </c>
      <c r="J16" s="27" t="s">
        <v>77</v>
      </c>
      <c r="K16" s="28" t="s">
        <v>78</v>
      </c>
      <c r="L16" s="39">
        <v>37.5</v>
      </c>
    </row>
    <row r="17" spans="1:12" ht="45" x14ac:dyDescent="0.25">
      <c r="A17" s="23">
        <f t="shared" si="1"/>
        <v>16</v>
      </c>
      <c r="B17" s="23" t="s">
        <v>211</v>
      </c>
      <c r="C17" s="26" t="s">
        <v>156</v>
      </c>
      <c r="D17" s="26" t="s">
        <v>83</v>
      </c>
      <c r="E17" s="26" t="s">
        <v>96</v>
      </c>
      <c r="F17" s="38">
        <v>46068</v>
      </c>
      <c r="G17" s="25" t="s">
        <v>101</v>
      </c>
      <c r="H17" s="15" t="s">
        <v>190</v>
      </c>
      <c r="I17" s="25" t="s">
        <v>124</v>
      </c>
      <c r="J17" s="27" t="s">
        <v>77</v>
      </c>
      <c r="K17" s="28" t="s">
        <v>78</v>
      </c>
      <c r="L17" s="39">
        <v>37.5</v>
      </c>
    </row>
    <row r="18" spans="1:12" ht="45" x14ac:dyDescent="0.25">
      <c r="A18" s="23">
        <f t="shared" si="1"/>
        <v>17</v>
      </c>
      <c r="B18" s="23" t="s">
        <v>211</v>
      </c>
      <c r="C18" s="26" t="s">
        <v>156</v>
      </c>
      <c r="D18" s="26" t="s">
        <v>83</v>
      </c>
      <c r="E18" s="26" t="s">
        <v>96</v>
      </c>
      <c r="F18" s="38">
        <v>46070</v>
      </c>
      <c r="G18" s="25" t="s">
        <v>101</v>
      </c>
      <c r="H18" s="15" t="s">
        <v>190</v>
      </c>
      <c r="I18" s="25" t="s">
        <v>191</v>
      </c>
      <c r="J18" s="27" t="s">
        <v>97</v>
      </c>
      <c r="K18" s="28" t="s">
        <v>78</v>
      </c>
      <c r="L18" s="39">
        <v>50</v>
      </c>
    </row>
    <row r="19" spans="1:12" ht="45" x14ac:dyDescent="0.25">
      <c r="A19" s="23">
        <f t="shared" si="1"/>
        <v>18</v>
      </c>
      <c r="B19" s="23" t="s">
        <v>211</v>
      </c>
      <c r="C19" s="23" t="s">
        <v>175</v>
      </c>
      <c r="D19" s="26" t="s">
        <v>176</v>
      </c>
      <c r="E19" s="26" t="s">
        <v>96</v>
      </c>
      <c r="F19" s="38">
        <v>46070</v>
      </c>
      <c r="G19" s="25" t="s">
        <v>101</v>
      </c>
      <c r="H19" s="15" t="s">
        <v>190</v>
      </c>
      <c r="I19" s="25" t="s">
        <v>191</v>
      </c>
      <c r="J19" s="27" t="s">
        <v>97</v>
      </c>
      <c r="K19" s="28" t="s">
        <v>78</v>
      </c>
      <c r="L19" s="39">
        <v>50</v>
      </c>
    </row>
    <row r="20" spans="1:12" ht="60" x14ac:dyDescent="0.25">
      <c r="A20" s="23">
        <f t="shared" si="1"/>
        <v>19</v>
      </c>
      <c r="B20" s="23" t="s">
        <v>211</v>
      </c>
      <c r="C20" s="23" t="s">
        <v>154</v>
      </c>
      <c r="D20" s="26" t="s">
        <v>81</v>
      </c>
      <c r="E20" s="23" t="s">
        <v>96</v>
      </c>
      <c r="F20" s="38">
        <v>46071</v>
      </c>
      <c r="G20" s="25" t="s">
        <v>101</v>
      </c>
      <c r="H20" s="15" t="s">
        <v>76</v>
      </c>
      <c r="I20" s="25" t="s">
        <v>113</v>
      </c>
      <c r="J20" s="27" t="s">
        <v>77</v>
      </c>
      <c r="K20" s="28" t="s">
        <v>78</v>
      </c>
      <c r="L20" s="39">
        <v>37.5</v>
      </c>
    </row>
    <row r="21" spans="1:12" ht="60" x14ac:dyDescent="0.25">
      <c r="A21" s="23">
        <f t="shared" si="1"/>
        <v>20</v>
      </c>
      <c r="B21" s="23" t="s">
        <v>211</v>
      </c>
      <c r="C21" s="23" t="s">
        <v>154</v>
      </c>
      <c r="D21" s="26" t="s">
        <v>81</v>
      </c>
      <c r="E21" s="23" t="s">
        <v>96</v>
      </c>
      <c r="F21" s="38">
        <v>46074</v>
      </c>
      <c r="G21" s="25" t="s">
        <v>101</v>
      </c>
      <c r="H21" s="15" t="s">
        <v>76</v>
      </c>
      <c r="I21" s="25" t="s">
        <v>192</v>
      </c>
      <c r="J21" s="27" t="s">
        <v>97</v>
      </c>
      <c r="K21" s="28" t="s">
        <v>78</v>
      </c>
      <c r="L21" s="39">
        <v>50</v>
      </c>
    </row>
    <row r="22" spans="1:12" ht="75" x14ac:dyDescent="0.25">
      <c r="A22" s="23">
        <f>+A21+1</f>
        <v>21</v>
      </c>
      <c r="B22" s="23" t="s">
        <v>211</v>
      </c>
      <c r="C22" s="23" t="s">
        <v>153</v>
      </c>
      <c r="D22" s="26" t="s">
        <v>83</v>
      </c>
      <c r="E22" s="26" t="s">
        <v>96</v>
      </c>
      <c r="F22" s="38">
        <v>46074</v>
      </c>
      <c r="G22" s="25" t="s">
        <v>101</v>
      </c>
      <c r="H22" s="15" t="s">
        <v>193</v>
      </c>
      <c r="I22" s="25" t="s">
        <v>194</v>
      </c>
      <c r="J22" s="27" t="s">
        <v>97</v>
      </c>
      <c r="K22" s="28" t="s">
        <v>78</v>
      </c>
      <c r="L22" s="39">
        <v>50</v>
      </c>
    </row>
    <row r="23" spans="1:12" ht="60" x14ac:dyDescent="0.25">
      <c r="A23" s="23">
        <v>1</v>
      </c>
      <c r="B23" s="23" t="s">
        <v>212</v>
      </c>
      <c r="C23" s="26" t="s">
        <v>195</v>
      </c>
      <c r="D23" s="26" t="s">
        <v>196</v>
      </c>
      <c r="E23" s="26" t="s">
        <v>99</v>
      </c>
      <c r="F23" s="38">
        <v>46085</v>
      </c>
      <c r="G23" s="25" t="s">
        <v>75</v>
      </c>
      <c r="H23" s="15" t="s">
        <v>197</v>
      </c>
      <c r="I23" s="25" t="s">
        <v>198</v>
      </c>
      <c r="J23" s="27" t="s">
        <v>97</v>
      </c>
      <c r="K23" s="28" t="s">
        <v>78</v>
      </c>
      <c r="L23" s="40">
        <v>50</v>
      </c>
    </row>
    <row r="24" spans="1:12" ht="60" x14ac:dyDescent="0.25">
      <c r="A24" s="23">
        <f t="shared" ref="A24:A29" si="2">+A23+1</f>
        <v>2</v>
      </c>
      <c r="B24" s="23" t="s">
        <v>212</v>
      </c>
      <c r="C24" s="26" t="s">
        <v>195</v>
      </c>
      <c r="D24" s="26" t="s">
        <v>196</v>
      </c>
      <c r="E24" s="26" t="s">
        <v>99</v>
      </c>
      <c r="F24" s="38">
        <v>46086</v>
      </c>
      <c r="G24" s="25" t="s">
        <v>75</v>
      </c>
      <c r="H24" s="15" t="s">
        <v>199</v>
      </c>
      <c r="I24" s="25" t="s">
        <v>200</v>
      </c>
      <c r="J24" s="27" t="s">
        <v>92</v>
      </c>
      <c r="K24" s="28" t="s">
        <v>78</v>
      </c>
      <c r="L24" s="40">
        <v>73.75</v>
      </c>
    </row>
    <row r="25" spans="1:12" ht="45" x14ac:dyDescent="0.25">
      <c r="A25" s="23">
        <f t="shared" si="2"/>
        <v>3</v>
      </c>
      <c r="B25" s="23" t="s">
        <v>211</v>
      </c>
      <c r="C25" s="23" t="s">
        <v>178</v>
      </c>
      <c r="D25" s="26" t="s">
        <v>179</v>
      </c>
      <c r="E25" s="26" t="s">
        <v>99</v>
      </c>
      <c r="F25" s="38">
        <v>46090</v>
      </c>
      <c r="G25" s="25" t="s">
        <v>75</v>
      </c>
      <c r="H25" s="15" t="s">
        <v>155</v>
      </c>
      <c r="I25" s="25" t="s">
        <v>201</v>
      </c>
      <c r="J25" s="27" t="s">
        <v>97</v>
      </c>
      <c r="K25" s="28" t="s">
        <v>78</v>
      </c>
      <c r="L25" s="40">
        <v>50</v>
      </c>
    </row>
    <row r="26" spans="1:12" ht="45" x14ac:dyDescent="0.25">
      <c r="A26" s="23">
        <f t="shared" si="2"/>
        <v>4</v>
      </c>
      <c r="B26" s="23" t="s">
        <v>211</v>
      </c>
      <c r="C26" s="23" t="s">
        <v>175</v>
      </c>
      <c r="D26" s="26" t="s">
        <v>176</v>
      </c>
      <c r="E26" s="26" t="s">
        <v>99</v>
      </c>
      <c r="F26" s="38">
        <v>46091</v>
      </c>
      <c r="G26" s="25" t="s">
        <v>101</v>
      </c>
      <c r="H26" s="15" t="s">
        <v>190</v>
      </c>
      <c r="I26" s="25" t="s">
        <v>202</v>
      </c>
      <c r="J26" s="27" t="s">
        <v>77</v>
      </c>
      <c r="K26" s="28" t="s">
        <v>78</v>
      </c>
      <c r="L26" s="40">
        <v>37.5</v>
      </c>
    </row>
    <row r="27" spans="1:12" ht="60" x14ac:dyDescent="0.25">
      <c r="A27" s="23">
        <f>+A25+1</f>
        <v>4</v>
      </c>
      <c r="B27" s="23" t="s">
        <v>211</v>
      </c>
      <c r="C27" s="23" t="s">
        <v>154</v>
      </c>
      <c r="D27" s="26" t="s">
        <v>81</v>
      </c>
      <c r="E27" s="23" t="s">
        <v>99</v>
      </c>
      <c r="F27" s="38">
        <v>46097</v>
      </c>
      <c r="G27" s="25" t="s">
        <v>101</v>
      </c>
      <c r="H27" s="15" t="s">
        <v>76</v>
      </c>
      <c r="I27" s="25" t="s">
        <v>192</v>
      </c>
      <c r="J27" s="27" t="s">
        <v>77</v>
      </c>
      <c r="K27" s="28" t="s">
        <v>78</v>
      </c>
      <c r="L27" s="40">
        <v>37.5</v>
      </c>
    </row>
    <row r="28" spans="1:12" ht="60" x14ac:dyDescent="0.25">
      <c r="A28" s="23">
        <f>+A26+1</f>
        <v>5</v>
      </c>
      <c r="B28" s="23" t="s">
        <v>211</v>
      </c>
      <c r="C28" s="23" t="s">
        <v>154</v>
      </c>
      <c r="D28" s="26" t="s">
        <v>81</v>
      </c>
      <c r="E28" s="23" t="s">
        <v>99</v>
      </c>
      <c r="F28" s="38">
        <v>46098</v>
      </c>
      <c r="G28" s="25" t="s">
        <v>101</v>
      </c>
      <c r="H28" s="15" t="s">
        <v>76</v>
      </c>
      <c r="I28" s="25" t="s">
        <v>203</v>
      </c>
      <c r="J28" s="27" t="s">
        <v>97</v>
      </c>
      <c r="K28" s="28" t="s">
        <v>78</v>
      </c>
      <c r="L28" s="40">
        <v>50</v>
      </c>
    </row>
    <row r="29" spans="1:12" ht="60" x14ac:dyDescent="0.25">
      <c r="A29" s="23">
        <f t="shared" si="2"/>
        <v>6</v>
      </c>
      <c r="B29" s="23" t="s">
        <v>211</v>
      </c>
      <c r="C29" s="27" t="s">
        <v>150</v>
      </c>
      <c r="D29" s="26" t="s">
        <v>87</v>
      </c>
      <c r="E29" s="26" t="s">
        <v>99</v>
      </c>
      <c r="F29" s="38">
        <v>46100</v>
      </c>
      <c r="G29" s="25" t="s">
        <v>75</v>
      </c>
      <c r="H29" s="15" t="s">
        <v>76</v>
      </c>
      <c r="I29" s="25" t="s">
        <v>192</v>
      </c>
      <c r="J29" s="27" t="s">
        <v>77</v>
      </c>
      <c r="K29" s="28" t="s">
        <v>78</v>
      </c>
      <c r="L29" s="40">
        <v>37.5</v>
      </c>
    </row>
    <row r="30" spans="1:12" ht="45" x14ac:dyDescent="0.25">
      <c r="A30" s="23">
        <v>1</v>
      </c>
      <c r="B30" s="23" t="s">
        <v>211</v>
      </c>
      <c r="C30" s="26" t="s">
        <v>157</v>
      </c>
      <c r="D30" s="26" t="s">
        <v>93</v>
      </c>
      <c r="E30" s="26" t="s">
        <v>102</v>
      </c>
      <c r="F30" s="38">
        <v>46121</v>
      </c>
      <c r="G30" s="25" t="s">
        <v>75</v>
      </c>
      <c r="H30" s="15" t="s">
        <v>204</v>
      </c>
      <c r="I30" s="25" t="s">
        <v>205</v>
      </c>
      <c r="J30" s="27" t="s">
        <v>97</v>
      </c>
      <c r="K30" s="28" t="s">
        <v>78</v>
      </c>
      <c r="L30" s="40">
        <v>50</v>
      </c>
    </row>
    <row r="31" spans="1:12" ht="45" x14ac:dyDescent="0.25">
      <c r="A31" s="23">
        <f t="shared" ref="A31:A38" si="3">+A30+1</f>
        <v>2</v>
      </c>
      <c r="B31" s="23" t="s">
        <v>212</v>
      </c>
      <c r="C31" s="26" t="s">
        <v>195</v>
      </c>
      <c r="D31" s="26" t="s">
        <v>196</v>
      </c>
      <c r="E31" s="26" t="s">
        <v>102</v>
      </c>
      <c r="F31" s="38">
        <v>46127</v>
      </c>
      <c r="G31" s="25" t="s">
        <v>75</v>
      </c>
      <c r="H31" s="15" t="s">
        <v>136</v>
      </c>
      <c r="I31" s="25" t="s">
        <v>206</v>
      </c>
      <c r="J31" s="27" t="s">
        <v>77</v>
      </c>
      <c r="K31" s="28" t="s">
        <v>78</v>
      </c>
      <c r="L31" s="40">
        <v>37.5</v>
      </c>
    </row>
    <row r="32" spans="1:12" ht="45" x14ac:dyDescent="0.25">
      <c r="A32" s="23">
        <f t="shared" si="3"/>
        <v>3</v>
      </c>
      <c r="B32" s="23" t="s">
        <v>212</v>
      </c>
      <c r="C32" s="26" t="s">
        <v>195</v>
      </c>
      <c r="D32" s="26" t="s">
        <v>196</v>
      </c>
      <c r="E32" s="26" t="s">
        <v>102</v>
      </c>
      <c r="F32" s="38">
        <v>46129</v>
      </c>
      <c r="G32" s="25" t="s">
        <v>75</v>
      </c>
      <c r="H32" s="15" t="s">
        <v>207</v>
      </c>
      <c r="I32" s="25" t="s">
        <v>208</v>
      </c>
      <c r="J32" s="27" t="s">
        <v>97</v>
      </c>
      <c r="K32" s="28" t="s">
        <v>78</v>
      </c>
      <c r="L32" s="40">
        <v>50</v>
      </c>
    </row>
    <row r="33" spans="1:12" ht="45" x14ac:dyDescent="0.25">
      <c r="A33" s="23">
        <f t="shared" si="3"/>
        <v>4</v>
      </c>
      <c r="B33" s="23" t="s">
        <v>211</v>
      </c>
      <c r="C33" s="23" t="s">
        <v>154</v>
      </c>
      <c r="D33" s="26" t="s">
        <v>81</v>
      </c>
      <c r="E33" s="26" t="s">
        <v>102</v>
      </c>
      <c r="F33" s="38">
        <v>46130</v>
      </c>
      <c r="G33" s="25" t="s">
        <v>101</v>
      </c>
      <c r="H33" s="15" t="s">
        <v>136</v>
      </c>
      <c r="I33" s="25" t="s">
        <v>124</v>
      </c>
      <c r="J33" s="27" t="s">
        <v>77</v>
      </c>
      <c r="K33" s="28" t="s">
        <v>78</v>
      </c>
      <c r="L33" s="40">
        <v>37.5</v>
      </c>
    </row>
    <row r="34" spans="1:12" ht="45" x14ac:dyDescent="0.25">
      <c r="A34" s="23">
        <f t="shared" si="3"/>
        <v>5</v>
      </c>
      <c r="B34" s="23" t="s">
        <v>211</v>
      </c>
      <c r="C34" s="26" t="s">
        <v>165</v>
      </c>
      <c r="D34" s="26" t="s">
        <v>87</v>
      </c>
      <c r="E34" s="26" t="s">
        <v>102</v>
      </c>
      <c r="F34" s="38">
        <v>46130</v>
      </c>
      <c r="G34" s="25" t="s">
        <v>75</v>
      </c>
      <c r="H34" s="15" t="s">
        <v>136</v>
      </c>
      <c r="I34" s="25" t="s">
        <v>124</v>
      </c>
      <c r="J34" s="27" t="s">
        <v>77</v>
      </c>
      <c r="K34" s="28" t="s">
        <v>78</v>
      </c>
      <c r="L34" s="40">
        <v>37.5</v>
      </c>
    </row>
    <row r="35" spans="1:12" ht="45" x14ac:dyDescent="0.25">
      <c r="A35" s="23">
        <f t="shared" si="3"/>
        <v>6</v>
      </c>
      <c r="B35" s="23" t="s">
        <v>211</v>
      </c>
      <c r="C35" s="23" t="s">
        <v>161</v>
      </c>
      <c r="D35" s="26" t="s">
        <v>87</v>
      </c>
      <c r="E35" s="26" t="s">
        <v>102</v>
      </c>
      <c r="F35" s="38">
        <v>46136</v>
      </c>
      <c r="G35" s="25" t="s">
        <v>75</v>
      </c>
      <c r="H35" s="15" t="s">
        <v>136</v>
      </c>
      <c r="I35" s="25" t="s">
        <v>124</v>
      </c>
      <c r="J35" s="27" t="s">
        <v>77</v>
      </c>
      <c r="K35" s="28" t="s">
        <v>78</v>
      </c>
      <c r="L35" s="40">
        <v>37.5</v>
      </c>
    </row>
    <row r="36" spans="1:12" ht="45" x14ac:dyDescent="0.25">
      <c r="A36" s="23">
        <f t="shared" si="3"/>
        <v>7</v>
      </c>
      <c r="B36" s="23" t="s">
        <v>211</v>
      </c>
      <c r="C36" s="23" t="s">
        <v>161</v>
      </c>
      <c r="D36" s="26" t="s">
        <v>87</v>
      </c>
      <c r="E36" s="26" t="s">
        <v>102</v>
      </c>
      <c r="F36" s="38">
        <v>46137</v>
      </c>
      <c r="G36" s="25" t="s">
        <v>75</v>
      </c>
      <c r="H36" s="15" t="s">
        <v>136</v>
      </c>
      <c r="I36" s="25" t="s">
        <v>174</v>
      </c>
      <c r="J36" s="27" t="s">
        <v>97</v>
      </c>
      <c r="K36" s="28" t="s">
        <v>78</v>
      </c>
      <c r="L36" s="40">
        <v>50</v>
      </c>
    </row>
    <row r="37" spans="1:12" ht="45" x14ac:dyDescent="0.25">
      <c r="A37" s="23">
        <f t="shared" si="3"/>
        <v>8</v>
      </c>
      <c r="B37" s="23" t="s">
        <v>211</v>
      </c>
      <c r="C37" s="26" t="s">
        <v>157</v>
      </c>
      <c r="D37" s="26" t="s">
        <v>93</v>
      </c>
      <c r="E37" s="26" t="s">
        <v>102</v>
      </c>
      <c r="F37" s="38">
        <v>46140</v>
      </c>
      <c r="G37" s="25" t="s">
        <v>75</v>
      </c>
      <c r="H37" s="15" t="s">
        <v>136</v>
      </c>
      <c r="I37" s="25" t="s">
        <v>209</v>
      </c>
      <c r="J37" s="27" t="s">
        <v>97</v>
      </c>
      <c r="K37" s="28" t="s">
        <v>78</v>
      </c>
      <c r="L37" s="40">
        <v>50</v>
      </c>
    </row>
    <row r="38" spans="1:12" ht="60" x14ac:dyDescent="0.25">
      <c r="A38" s="23">
        <f t="shared" si="3"/>
        <v>9</v>
      </c>
      <c r="B38" s="23" t="s">
        <v>211</v>
      </c>
      <c r="C38" s="23" t="s">
        <v>161</v>
      </c>
      <c r="D38" s="26" t="s">
        <v>87</v>
      </c>
      <c r="E38" s="26" t="s">
        <v>102</v>
      </c>
      <c r="F38" s="38">
        <v>46140</v>
      </c>
      <c r="G38" s="25" t="s">
        <v>75</v>
      </c>
      <c r="H38" s="15" t="s">
        <v>136</v>
      </c>
      <c r="I38" s="25" t="s">
        <v>210</v>
      </c>
      <c r="J38" s="27" t="s">
        <v>97</v>
      </c>
      <c r="K38" s="28" t="s">
        <v>78</v>
      </c>
      <c r="L38" s="40">
        <v>50</v>
      </c>
    </row>
    <row r="39" spans="1:12" ht="60" x14ac:dyDescent="0.25">
      <c r="A39" s="23">
        <v>1</v>
      </c>
      <c r="B39" s="23" t="s">
        <v>211</v>
      </c>
      <c r="C39" s="23" t="s">
        <v>161</v>
      </c>
      <c r="D39" s="26" t="s">
        <v>87</v>
      </c>
      <c r="E39" s="26" t="s">
        <v>134</v>
      </c>
      <c r="F39" s="38">
        <v>46146</v>
      </c>
      <c r="G39" s="25" t="s">
        <v>75</v>
      </c>
      <c r="H39" s="15" t="s">
        <v>136</v>
      </c>
      <c r="I39" s="25" t="s">
        <v>210</v>
      </c>
      <c r="J39" s="27" t="s">
        <v>97</v>
      </c>
      <c r="K39" s="28" t="s">
        <v>78</v>
      </c>
      <c r="L39" s="40">
        <v>50</v>
      </c>
    </row>
    <row r="40" spans="1:12" ht="60" x14ac:dyDescent="0.25">
      <c r="A40" s="23">
        <f t="shared" ref="A40" si="4">+A39+1</f>
        <v>2</v>
      </c>
      <c r="B40" s="23" t="s">
        <v>212</v>
      </c>
      <c r="C40" s="26" t="s">
        <v>195</v>
      </c>
      <c r="D40" s="26" t="s">
        <v>196</v>
      </c>
      <c r="E40" s="26" t="s">
        <v>134</v>
      </c>
      <c r="F40" s="38">
        <v>46147</v>
      </c>
      <c r="G40" s="25" t="s">
        <v>75</v>
      </c>
      <c r="H40" s="15" t="s">
        <v>199</v>
      </c>
      <c r="I40" s="25" t="s">
        <v>200</v>
      </c>
      <c r="J40" s="27" t="s">
        <v>97</v>
      </c>
      <c r="K40" s="28" t="s">
        <v>78</v>
      </c>
      <c r="L40" s="40">
        <v>50</v>
      </c>
    </row>
    <row r="41" spans="1:12" ht="45" x14ac:dyDescent="0.25">
      <c r="A41" s="23">
        <f>+A40+1</f>
        <v>3</v>
      </c>
      <c r="B41" s="23" t="s">
        <v>211</v>
      </c>
      <c r="C41" s="26" t="s">
        <v>165</v>
      </c>
      <c r="D41" s="26" t="s">
        <v>87</v>
      </c>
      <c r="E41" s="26" t="s">
        <v>134</v>
      </c>
      <c r="F41" s="38">
        <v>46164</v>
      </c>
      <c r="G41" s="25" t="s">
        <v>75</v>
      </c>
      <c r="H41" s="15" t="s">
        <v>136</v>
      </c>
      <c r="I41" s="25" t="s">
        <v>124</v>
      </c>
      <c r="J41" s="27" t="s">
        <v>77</v>
      </c>
      <c r="K41" s="28" t="s">
        <v>78</v>
      </c>
      <c r="L41" s="40">
        <v>37.5</v>
      </c>
    </row>
    <row r="42" spans="1:12" ht="45" x14ac:dyDescent="0.25">
      <c r="A42" s="23">
        <f>+A41+1</f>
        <v>4</v>
      </c>
      <c r="B42" s="23" t="s">
        <v>211</v>
      </c>
      <c r="C42" s="26" t="s">
        <v>165</v>
      </c>
      <c r="D42" s="26" t="s">
        <v>87</v>
      </c>
      <c r="E42" s="26" t="s">
        <v>134</v>
      </c>
      <c r="F42" s="38">
        <v>46167</v>
      </c>
      <c r="G42" s="25" t="s">
        <v>75</v>
      </c>
      <c r="H42" s="15" t="s">
        <v>136</v>
      </c>
      <c r="I42" s="25" t="s">
        <v>124</v>
      </c>
      <c r="J42" s="27" t="s">
        <v>77</v>
      </c>
      <c r="K42" s="28" t="s">
        <v>78</v>
      </c>
      <c r="L42" s="40">
        <v>37.5</v>
      </c>
    </row>
    <row r="43" spans="1:12" ht="45" x14ac:dyDescent="0.25">
      <c r="A43" s="23">
        <f>+A42+1</f>
        <v>5</v>
      </c>
      <c r="B43" s="23" t="s">
        <v>211</v>
      </c>
      <c r="C43" s="23" t="s">
        <v>153</v>
      </c>
      <c r="D43" s="26" t="s">
        <v>83</v>
      </c>
      <c r="E43" s="26" t="s">
        <v>134</v>
      </c>
      <c r="F43" s="38">
        <v>46170</v>
      </c>
      <c r="G43" s="25" t="s">
        <v>101</v>
      </c>
      <c r="H43" s="15" t="s">
        <v>136</v>
      </c>
      <c r="I43" s="25" t="s">
        <v>124</v>
      </c>
      <c r="J43" s="27" t="s">
        <v>77</v>
      </c>
      <c r="K43" s="28" t="s">
        <v>78</v>
      </c>
      <c r="L43" s="40">
        <v>37.5</v>
      </c>
    </row>
    <row r="44" spans="1:12" ht="45" x14ac:dyDescent="0.25">
      <c r="A44" s="23">
        <f t="shared" ref="A44:A52" si="5">+A43+1</f>
        <v>6</v>
      </c>
      <c r="B44" s="51" t="s">
        <v>211</v>
      </c>
      <c r="C44" s="52" t="s">
        <v>227</v>
      </c>
      <c r="D44" s="52" t="s">
        <v>83</v>
      </c>
      <c r="E44" s="52" t="s">
        <v>141</v>
      </c>
      <c r="F44" s="55">
        <v>46191</v>
      </c>
      <c r="G44" s="25" t="s">
        <v>101</v>
      </c>
      <c r="H44" s="15" t="s">
        <v>228</v>
      </c>
      <c r="I44" s="25" t="s">
        <v>229</v>
      </c>
      <c r="J44" s="27" t="s">
        <v>97</v>
      </c>
      <c r="K44" s="28" t="s">
        <v>78</v>
      </c>
      <c r="L44" s="53">
        <v>50</v>
      </c>
    </row>
    <row r="45" spans="1:12" ht="75" x14ac:dyDescent="0.25">
      <c r="A45" s="23">
        <f t="shared" si="5"/>
        <v>7</v>
      </c>
      <c r="B45" s="23" t="s">
        <v>212</v>
      </c>
      <c r="C45" s="26" t="s">
        <v>195</v>
      </c>
      <c r="D45" s="26" t="s">
        <v>196</v>
      </c>
      <c r="E45" s="26" t="s">
        <v>141</v>
      </c>
      <c r="F45" s="38">
        <v>46196</v>
      </c>
      <c r="G45" s="25" t="s">
        <v>75</v>
      </c>
      <c r="H45" s="15" t="s">
        <v>199</v>
      </c>
      <c r="I45" s="25" t="s">
        <v>230</v>
      </c>
      <c r="J45" s="27" t="s">
        <v>77</v>
      </c>
      <c r="K45" s="28" t="s">
        <v>78</v>
      </c>
      <c r="L45" s="53">
        <v>37.5</v>
      </c>
    </row>
    <row r="46" spans="1:12" ht="60" x14ac:dyDescent="0.25">
      <c r="A46" s="23">
        <f t="shared" si="5"/>
        <v>8</v>
      </c>
      <c r="B46" s="23" t="s">
        <v>212</v>
      </c>
      <c r="C46" s="26" t="s">
        <v>195</v>
      </c>
      <c r="D46" s="26" t="s">
        <v>196</v>
      </c>
      <c r="E46" s="26" t="s">
        <v>141</v>
      </c>
      <c r="F46" s="38">
        <v>46197</v>
      </c>
      <c r="G46" s="25" t="s">
        <v>75</v>
      </c>
      <c r="H46" s="15" t="s">
        <v>199</v>
      </c>
      <c r="I46" s="25" t="s">
        <v>200</v>
      </c>
      <c r="J46" s="27" t="s">
        <v>97</v>
      </c>
      <c r="K46" s="28" t="s">
        <v>78</v>
      </c>
      <c r="L46" s="53">
        <v>50</v>
      </c>
    </row>
    <row r="47" spans="1:12" ht="75" x14ac:dyDescent="0.25">
      <c r="A47" s="23">
        <f t="shared" si="5"/>
        <v>9</v>
      </c>
      <c r="B47" s="23" t="s">
        <v>211</v>
      </c>
      <c r="C47" s="23" t="s">
        <v>154</v>
      </c>
      <c r="D47" s="26" t="s">
        <v>81</v>
      </c>
      <c r="E47" s="26" t="s">
        <v>151</v>
      </c>
      <c r="F47" s="38">
        <v>46211</v>
      </c>
      <c r="G47" s="25" t="s">
        <v>101</v>
      </c>
      <c r="H47" s="15" t="s">
        <v>231</v>
      </c>
      <c r="I47" s="25" t="s">
        <v>230</v>
      </c>
      <c r="J47" s="27" t="s">
        <v>77</v>
      </c>
      <c r="K47" s="28" t="s">
        <v>78</v>
      </c>
      <c r="L47" s="53">
        <v>37.5</v>
      </c>
    </row>
    <row r="48" spans="1:12" ht="75" x14ac:dyDescent="0.25">
      <c r="A48" s="23">
        <f t="shared" si="5"/>
        <v>10</v>
      </c>
      <c r="B48" s="23" t="s">
        <v>211</v>
      </c>
      <c r="C48" s="23" t="s">
        <v>154</v>
      </c>
      <c r="D48" s="26" t="s">
        <v>81</v>
      </c>
      <c r="E48" s="26" t="s">
        <v>151</v>
      </c>
      <c r="F48" s="38">
        <v>46220</v>
      </c>
      <c r="G48" s="25" t="s">
        <v>101</v>
      </c>
      <c r="H48" s="15" t="s">
        <v>231</v>
      </c>
      <c r="I48" s="25" t="s">
        <v>232</v>
      </c>
      <c r="J48" s="27" t="s">
        <v>97</v>
      </c>
      <c r="K48" s="28" t="s">
        <v>78</v>
      </c>
      <c r="L48" s="53">
        <v>50</v>
      </c>
    </row>
    <row r="49" spans="1:12" ht="75" x14ac:dyDescent="0.25">
      <c r="A49" s="23">
        <f t="shared" si="5"/>
        <v>11</v>
      </c>
      <c r="B49" s="23" t="s">
        <v>211</v>
      </c>
      <c r="C49" s="23" t="s">
        <v>154</v>
      </c>
      <c r="D49" s="26" t="s">
        <v>81</v>
      </c>
      <c r="E49" s="26" t="s">
        <v>151</v>
      </c>
      <c r="F49" s="38">
        <v>46220</v>
      </c>
      <c r="G49" s="25" t="s">
        <v>101</v>
      </c>
      <c r="H49" s="15" t="s">
        <v>231</v>
      </c>
      <c r="I49" s="25" t="s">
        <v>232</v>
      </c>
      <c r="J49" s="27" t="s">
        <v>97</v>
      </c>
      <c r="K49" s="28" t="s">
        <v>78</v>
      </c>
      <c r="L49" s="53">
        <v>50</v>
      </c>
    </row>
    <row r="50" spans="1:12" ht="75" x14ac:dyDescent="0.25">
      <c r="A50" s="23">
        <f t="shared" si="5"/>
        <v>12</v>
      </c>
      <c r="B50" s="23" t="s">
        <v>212</v>
      </c>
      <c r="C50" s="26" t="s">
        <v>233</v>
      </c>
      <c r="D50" s="26" t="s">
        <v>72</v>
      </c>
      <c r="E50" s="26" t="s">
        <v>160</v>
      </c>
      <c r="F50" s="38">
        <v>46235</v>
      </c>
      <c r="G50" s="25" t="s">
        <v>75</v>
      </c>
      <c r="H50" s="15" t="s">
        <v>231</v>
      </c>
      <c r="I50" s="25" t="s">
        <v>124</v>
      </c>
      <c r="J50" s="27" t="s">
        <v>77</v>
      </c>
      <c r="K50" s="28" t="s">
        <v>78</v>
      </c>
      <c r="L50" s="53">
        <v>37.5</v>
      </c>
    </row>
    <row r="51" spans="1:12" ht="75" x14ac:dyDescent="0.25">
      <c r="A51" s="23">
        <f t="shared" si="5"/>
        <v>13</v>
      </c>
      <c r="B51" s="23" t="s">
        <v>212</v>
      </c>
      <c r="C51" s="26" t="s">
        <v>233</v>
      </c>
      <c r="D51" s="26" t="s">
        <v>72</v>
      </c>
      <c r="E51" s="26" t="s">
        <v>160</v>
      </c>
      <c r="F51" s="38">
        <v>46241</v>
      </c>
      <c r="G51" s="25" t="s">
        <v>75</v>
      </c>
      <c r="H51" s="15" t="s">
        <v>231</v>
      </c>
      <c r="I51" s="25" t="s">
        <v>124</v>
      </c>
      <c r="J51" s="27" t="s">
        <v>77</v>
      </c>
      <c r="K51" s="28" t="s">
        <v>78</v>
      </c>
      <c r="L51" s="53">
        <v>37.5</v>
      </c>
    </row>
    <row r="52" spans="1:12" ht="45" x14ac:dyDescent="0.25">
      <c r="A52" s="23">
        <f t="shared" si="5"/>
        <v>14</v>
      </c>
      <c r="B52" s="23" t="s">
        <v>211</v>
      </c>
      <c r="C52" s="26" t="s">
        <v>165</v>
      </c>
      <c r="D52" s="26" t="s">
        <v>87</v>
      </c>
      <c r="E52" s="26" t="s">
        <v>160</v>
      </c>
      <c r="F52" s="38">
        <v>46255</v>
      </c>
      <c r="G52" s="25" t="s">
        <v>75</v>
      </c>
      <c r="H52" s="15" t="s">
        <v>136</v>
      </c>
      <c r="I52" s="25" t="s">
        <v>124</v>
      </c>
      <c r="J52" s="27" t="s">
        <v>77</v>
      </c>
      <c r="K52" s="28" t="s">
        <v>78</v>
      </c>
      <c r="L52" s="53">
        <v>37.5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selection activeCell="C5" sqref="C5"/>
    </sheetView>
  </sheetViews>
  <sheetFormatPr baseColWidth="10" defaultColWidth="9.140625" defaultRowHeight="15" x14ac:dyDescent="0.25"/>
  <cols>
    <col min="1" max="1" width="8" style="44" customWidth="1"/>
    <col min="2" max="2" width="16" style="45" customWidth="1"/>
    <col min="3" max="3" width="69.140625" style="45" customWidth="1"/>
    <col min="4" max="4" width="10" style="45" customWidth="1"/>
    <col min="5" max="5" width="24" style="45" customWidth="1"/>
    <col min="6" max="6" width="18" style="45" customWidth="1"/>
    <col min="7" max="16384" width="9.140625" style="45"/>
  </cols>
  <sheetData>
    <row r="1" spans="1:6" s="42" customFormat="1" x14ac:dyDescent="0.25">
      <c r="A1" s="46" t="s">
        <v>213</v>
      </c>
      <c r="B1" s="46" t="s">
        <v>214</v>
      </c>
      <c r="C1" s="46" t="s">
        <v>215</v>
      </c>
      <c r="D1" s="46" t="s">
        <v>216</v>
      </c>
      <c r="E1" s="46" t="s">
        <v>217</v>
      </c>
      <c r="F1" s="46" t="s">
        <v>218</v>
      </c>
    </row>
    <row r="2" spans="1:6" s="43" customFormat="1" x14ac:dyDescent="0.25">
      <c r="A2" s="47">
        <v>1</v>
      </c>
      <c r="B2" s="47" t="s">
        <v>219</v>
      </c>
      <c r="C2" s="47" t="s">
        <v>220</v>
      </c>
      <c r="D2" s="47">
        <v>1</v>
      </c>
      <c r="E2" s="48">
        <v>1122</v>
      </c>
      <c r="F2" s="48">
        <f>D2*E2</f>
        <v>1122</v>
      </c>
    </row>
    <row r="3" spans="1:6" s="43" customFormat="1" ht="38.25" customHeight="1" x14ac:dyDescent="0.25">
      <c r="A3" s="49">
        <v>2</v>
      </c>
      <c r="B3" s="49" t="s">
        <v>221</v>
      </c>
      <c r="C3" s="49" t="s">
        <v>222</v>
      </c>
      <c r="D3" s="49">
        <v>1</v>
      </c>
      <c r="E3" s="50">
        <v>695.56</v>
      </c>
      <c r="F3" s="50">
        <f>D3*E3</f>
        <v>695.56</v>
      </c>
    </row>
    <row r="4" spans="1:6" s="43" customFormat="1" x14ac:dyDescent="0.25">
      <c r="A4" s="47">
        <v>3</v>
      </c>
      <c r="B4" s="47" t="s">
        <v>223</v>
      </c>
      <c r="C4" s="47" t="s">
        <v>224</v>
      </c>
      <c r="D4" s="47">
        <v>1</v>
      </c>
      <c r="E4" s="48">
        <v>70.25</v>
      </c>
      <c r="F4" s="48">
        <f>D4*E4</f>
        <v>70.25</v>
      </c>
    </row>
    <row r="5" spans="1:6" s="43" customFormat="1" x14ac:dyDescent="0.25">
      <c r="A5" s="49">
        <v>4</v>
      </c>
      <c r="B5" s="49" t="s">
        <v>225</v>
      </c>
      <c r="C5" s="49" t="s">
        <v>226</v>
      </c>
      <c r="D5" s="49">
        <v>1</v>
      </c>
      <c r="E5" s="50">
        <v>25.74</v>
      </c>
      <c r="F5" s="50">
        <f>D5*E5</f>
        <v>25.74</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Drive HME</vt:lpstr>
      <vt:lpstr>Atenciones 2025</vt:lpstr>
      <vt:lpstr>Atenciones 2026</vt:lpstr>
      <vt:lpstr>Cotizaciones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2026-08-26T15:24:23Z</dcterms:modified>
</cp:coreProperties>
</file>